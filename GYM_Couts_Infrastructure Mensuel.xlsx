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thur\Downloads\"/>
    </mc:Choice>
  </mc:AlternateContent>
  <xr:revisionPtr revIDLastSave="0" documentId="13_ncr:1_{B2886FB9-7543-4B20-BDBC-B3FF7DF8AD08}" xr6:coauthVersionLast="47" xr6:coauthVersionMax="47" xr10:uidLastSave="{00000000-0000-0000-0000-000000000000}"/>
  <bookViews>
    <workbookView xWindow="38280" yWindow="-120" windowWidth="29040" windowHeight="15840" tabRatio="500" xr2:uid="{00000000-000D-0000-FFFF-FFFF00000000}"/>
  </bookViews>
  <sheets>
    <sheet name="Comparatif Plans" sheetId="1" r:id="rId1"/>
    <sheet name="Simulation Strip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2" l="1"/>
  <c r="F8" i="2"/>
  <c r="E8" i="2"/>
  <c r="D8" i="2"/>
  <c r="F7" i="2"/>
  <c r="D7" i="2"/>
  <c r="E7" i="2" s="1"/>
  <c r="F6" i="2"/>
  <c r="D6" i="2"/>
  <c r="E6" i="2" s="1"/>
  <c r="D5" i="2"/>
  <c r="F9" i="2" l="1"/>
  <c r="E9" i="2"/>
  <c r="F5" i="2"/>
  <c r="E5" i="2"/>
</calcChain>
</file>

<file path=xl/sharedStrings.xml><?xml version="1.0" encoding="utf-8"?>
<sst xmlns="http://schemas.openxmlformats.org/spreadsheetml/2006/main" count="425" uniqueCount="302">
  <si>
    <t>💸  GetYourMentor — Coûts d'infrastructure &amp; Comparatif Plans</t>
  </si>
  <si>
    <t>Critère / Fonctionnalité</t>
  </si>
  <si>
    <t>🟢 Free / Hobby</t>
  </si>
  <si>
    <t>🔵 Pro / Starter</t>
  </si>
  <si>
    <t>🟡 Team / Business</t>
  </si>
  <si>
    <t>📝 Notes &amp; Recommandations GYM</t>
  </si>
  <si>
    <t xml:space="preserve">  🗄️  SUPABASE  (BDD / Auth / Storage / Realtime)  ⚠️ Prix en USD — vérifiés janv. 2026</t>
  </si>
  <si>
    <t>Prix mensuel (base)</t>
  </si>
  <si>
    <t>0 $</t>
  </si>
  <si>
    <t>25 $/mois</t>
  </si>
  <si>
    <t>599 $/mois</t>
  </si>
  <si>
    <t>⚠️ Facturé en USD — ~23€ et ~550€ selon taux EUR/USD</t>
  </si>
  <si>
    <t>Crédits compute inclus</t>
  </si>
  <si>
    <t>❌</t>
  </si>
  <si>
    <t>10 $/mois</t>
  </si>
  <si>
    <t>Couvre 1 instance Micro — suffisant pour MVP GYM</t>
  </si>
  <si>
    <t>Projets actifs</t>
  </si>
  <si>
    <t>2 projets</t>
  </si>
  <si>
    <t>Illimités</t>
  </si>
  <si>
    <t>1 projet suffit pour GYM V1</t>
  </si>
  <si>
    <t>Base de données (storage)</t>
  </si>
  <si>
    <t>500 MB</t>
  </si>
  <si>
    <t>8 GB inclus</t>
  </si>
  <si>
    <t>500 MB = ~500k lignes — suffisant au lancement</t>
  </si>
  <si>
    <t>Egress / bande passante DB</t>
  </si>
  <si>
    <t>5 GB</t>
  </si>
  <si>
    <t>250 GB</t>
  </si>
  <si>
    <t>2 TB</t>
  </si>
  <si>
    <t>Overage Pro : 0,09 $/GB — peu impactant pour GYM</t>
  </si>
  <si>
    <t>File Storage (diplomes, photos)</t>
  </si>
  <si>
    <t>1 GB</t>
  </si>
  <si>
    <t>100 GB</t>
  </si>
  <si>
    <t>Photos profils + diplomes coachs — Pro suffisant</t>
  </si>
  <si>
    <t>Utilisateurs actifs / mois (MAU)</t>
  </si>
  <si>
    <t>50 000</t>
  </si>
  <si>
    <t>100 000</t>
  </si>
  <si>
    <t>500 000</t>
  </si>
  <si>
    <t>Overage Pro : 0,00325 $/MAU — alertes a configurer</t>
  </si>
  <si>
    <t>Auth (JWT, email, magic link)</t>
  </si>
  <si>
    <t>✅</t>
  </si>
  <si>
    <t>Auth complete incluse dans tous les plans</t>
  </si>
  <si>
    <t>Row Level Security (RLS)</t>
  </si>
  <si>
    <t>Indispensable securite GYM — inclus partout</t>
  </si>
  <si>
    <t>Realtime (chat temps reel)</t>
  </si>
  <si>
    <t>✅ 200 conn.</t>
  </si>
  <si>
    <t>Messagerie coach &lt; &gt; sportif — incluse partout</t>
  </si>
  <si>
    <t>Edge Functions</t>
  </si>
  <si>
    <t>500k appels</t>
  </si>
  <si>
    <t>2M appels</t>
  </si>
  <si>
    <t>Webhooks Stripe, logique serveur custom</t>
  </si>
  <si>
    <t>Backups automatiques</t>
  </si>
  <si>
    <t>✅ 7 jours</t>
  </si>
  <si>
    <t>✅ 14 jours</t>
  </si>
  <si>
    <t>INDISPENSABLE en prod — necessite minimum Pro</t>
  </si>
  <si>
    <t>Pause si inactif 7 jours</t>
  </si>
  <si>
    <t>✅ BLOQUANT</t>
  </si>
  <si>
    <t>Free se coupe tout seul → inutilisable en production !</t>
  </si>
  <si>
    <t>Spend cap (plafond budget)</t>
  </si>
  <si>
    <t>✅ par defaut</t>
  </si>
  <si>
    <t>Sur Pro : bloque a 25$/mois par defaut — a ajuster</t>
  </si>
  <si>
    <t>Logs retention</t>
  </si>
  <si>
    <t>7 jours</t>
  </si>
  <si>
    <t>28 jours</t>
  </si>
  <si>
    <t>Utile pour deboguer bugs en production</t>
  </si>
  <si>
    <t>Support</t>
  </si>
  <si>
    <t>Communaute</t>
  </si>
  <si>
    <t>Email</t>
  </si>
  <si>
    <t>Prioritaire</t>
  </si>
  <si>
    <t>—</t>
  </si>
  <si>
    <t>SSO / SAML</t>
  </si>
  <si>
    <t>Non necessaire pour GYM — B2B Enterprise seulement</t>
  </si>
  <si>
    <t>SOC 2 / Conformite</t>
  </si>
  <si>
    <t>Non necessaire pour GYM V1</t>
  </si>
  <si>
    <t>✅ Plan recommande GYM</t>
  </si>
  <si>
    <t>❌ Dev/proto</t>
  </si>
  <si>
    <t>✅ PRO ~23 EUR</t>
  </si>
  <si>
    <t>❌ Inutile</t>
  </si>
  <si>
    <t>Pro des la mise en prod — Team inutile avant 100k+ MAU</t>
  </si>
  <si>
    <t xml:space="preserve">  🚀  VERCEL  (Hébergement Frontend — Next.js)  ⚠️ Données vérifiées sur docs.vercel.com</t>
  </si>
  <si>
    <t>Prix mensuel</t>
  </si>
  <si>
    <t>0 € (Hobby)</t>
  </si>
  <si>
    <t>20 $/mois/membre</t>
  </si>
  <si>
    <t>Sur devis (~20-25k$/an)</t>
  </si>
  <si>
    <t>Enterprise = contrat annuel, inutile pour GYM</t>
  </si>
  <si>
    <t>Usage commercial autorisé</t>
  </si>
  <si>
    <t>❌ INTERDIT</t>
  </si>
  <si>
    <t>⚠️ CRITIQUE : Hobby strictement interdit pour usage pro/commercial</t>
  </si>
  <si>
    <t>Edge Requests incluses / mois</t>
  </si>
  <si>
    <t>1 000 000</t>
  </si>
  <si>
    <t>10 000 000</t>
  </si>
  <si>
    <t>Sur mesure</t>
  </si>
  <si>
    <t>Largement suffisant pour GYM au lancement</t>
  </si>
  <si>
    <t>Bandwidth / Fast Data Transfer</t>
  </si>
  <si>
    <t>Non précisé</t>
  </si>
  <si>
    <t>1 TB inclus</t>
  </si>
  <si>
    <t>Illimité</t>
  </si>
  <si>
    <t>Overage Pro : 0,15$/GB au-delà de 1 TB</t>
  </si>
  <si>
    <t>Déploiements / jour</t>
  </si>
  <si>
    <t>100/jour</t>
  </si>
  <si>
    <t>6 000/jour</t>
  </si>
  <si>
    <t>100/jour = bloquant si déploiements fréquents</t>
  </si>
  <si>
    <t>Build minutes / mois</t>
  </si>
  <si>
    <t>6 000 min</t>
  </si>
  <si>
    <t>24 000 min</t>
  </si>
  <si>
    <t>Suffisant pour GYM</t>
  </si>
  <si>
    <t>Durée max. Function (API routes)</t>
  </si>
  <si>
    <t>60s max</t>
  </si>
  <si>
    <t>300s max (5 min)</t>
  </si>
  <si>
    <t>Important pour webhooks Stripe — Pro recommandé</t>
  </si>
  <si>
    <t>Function Invocations incluses</t>
  </si>
  <si>
    <t>Selon usage</t>
  </si>
  <si>
    <t>API routes Next.js = serverless functions Vercel</t>
  </si>
  <si>
    <t>Domaine custom (getyourmentor.fr)</t>
  </si>
  <si>
    <t>Inclus dans tous les plans</t>
  </si>
  <si>
    <t>SSL / HTTPS automatique</t>
  </si>
  <si>
    <t>Inclus automatiquement, pas de surcoût</t>
  </si>
  <si>
    <t>CDN mondial</t>
  </si>
  <si>
    <t>Réseau edge global inclus partout</t>
  </si>
  <si>
    <t>Previews de déploiement (branches Git)</t>
  </si>
  <si>
    <t>Utile pour tester features avant prod</t>
  </si>
  <si>
    <t>Web Analytics incluses</t>
  </si>
  <si>
    <t>50k events, 1 mois</t>
  </si>
  <si>
    <t>100k events, 12 mois</t>
  </si>
  <si>
    <t>Pro = historique 12 mois + custom events</t>
  </si>
  <si>
    <t>Logs Runtime</t>
  </si>
  <si>
    <t>1h, 4 000 lignes</t>
  </si>
  <si>
    <t>1 jour, 100k lignes</t>
  </si>
  <si>
    <t>Pro indispensable pour débugger en prod</t>
  </si>
  <si>
    <t>Spend Management (plafond budget)</t>
  </si>
  <si>
    <t>Évite les mauvaises surprises d'overages</t>
  </si>
  <si>
    <t>DDoS Mitigation &amp; WAF basique</t>
  </si>
  <si>
    <t>Protection incluse partout</t>
  </si>
  <si>
    <t>WAF Custom Rules</t>
  </si>
  <si>
    <t>3 règles max</t>
  </si>
  <si>
    <t>40 règles max</t>
  </si>
  <si>
    <t>Pro largement suffisant pour GYM</t>
  </si>
  <si>
    <t>Communauté</t>
  </si>
  <si>
    <t>Dédié + SLA</t>
  </si>
  <si>
    <t>Cron Jobs (rappels 72h, emails auto…)</t>
  </si>
  <si>
    <t>✅ (limité)</t>
  </si>
  <si>
    <t>✅ Illimités</t>
  </si>
  <si>
    <t>Système de rappels GYM → fonctionne sur Pro</t>
  </si>
  <si>
    <t>Collaboration / membres d'équipe</t>
  </si>
  <si>
    <t>❌ Solo only</t>
  </si>
  <si>
    <t>✅ +20$/membre</t>
  </si>
  <si>
    <t>1 seul dev = 1 seat = 20$/mois total</t>
  </si>
  <si>
    <t>✅ Plan recommandé GYM</t>
  </si>
  <si>
    <t>❌ Interdit pro</t>
  </si>
  <si>
    <t>✅ PRO — ~20 €</t>
  </si>
  <si>
    <t>👉 Pro OBLIGATOIRE dès la mise en production (usage commercial)</t>
  </si>
  <si>
    <t xml:space="preserve">  📧  BREVO  (Emails transactionnels — confirmations, rappels, notifications)  ⚠️ Plans renommés depuis oct. 2025</t>
  </si>
  <si>
    <t>Nom du plan</t>
  </si>
  <si>
    <t>Free</t>
  </si>
  <si>
    <t>Starter</t>
  </si>
  <si>
    <t>Business</t>
  </si>
  <si>
    <t>⚠️ Plan 'Standard' renommé 'Business' depuis octobre 2025</t>
  </si>
  <si>
    <t>0 €</t>
  </si>
  <si>
    <t>9 €/mois</t>
  </si>
  <si>
    <t>18 €/mois</t>
  </si>
  <si>
    <t>Starter = à partir de 5 000 emails/mois</t>
  </si>
  <si>
    <t>Volume emails / mois</t>
  </si>
  <si>
    <t>~9 000 (300/j)</t>
  </si>
  <si>
    <t>5 000 → 100 000</t>
  </si>
  <si>
    <t>5 000 → 1M</t>
  </si>
  <si>
    <t>Business démarre aussi à 5k — la diff c'est les features</t>
  </si>
  <si>
    <t>Limite quotidienne</t>
  </si>
  <si>
    <t>300/jour 🔴</t>
  </si>
  <si>
    <t>❌ (supprimée)</t>
  </si>
  <si>
    <t>⚠️ Limite quotidienne = risque bloquant en prod</t>
  </si>
  <si>
    <t>Emails transactionnels (API/SMTP)</t>
  </si>
  <si>
    <t>Inclus dans TOUS les plans — essentiel pour GYM</t>
  </si>
  <si>
    <t>Brevo branding dans les emails</t>
  </si>
  <si>
    <t>✅ Forcé</t>
  </si>
  <si>
    <t>✅ (+9€ add-on)</t>
  </si>
  <si>
    <t>❌ Absent</t>
  </si>
  <si>
    <t>Retirer le logo sur Starter = +9€/mois en add-on</t>
  </si>
  <si>
    <t>Statistiques d'envoi</t>
  </si>
  <si>
    <t>❌ Aucune</t>
  </si>
  <si>
    <t>Basiques</t>
  </si>
  <si>
    <t>✅ Avancées</t>
  </si>
  <si>
    <t>Taux d'ouverture, clics — basique suffit pour MVP</t>
  </si>
  <si>
    <t>Automations</t>
  </si>
  <si>
    <t>2 000 contacts</t>
  </si>
  <si>
    <t>✅ Illimitées</t>
  </si>
  <si>
    <t>Automations limitées sur Free ET Starter — Business pour scale</t>
  </si>
  <si>
    <t>Landing pages</t>
  </si>
  <si>
    <t>✅ (1 incluse)</t>
  </si>
  <si>
    <t>Non nécessaire pour GYM</t>
  </si>
  <si>
    <t>A/B Testing</t>
  </si>
  <si>
    <t>Non nécessaire MVP</t>
  </si>
  <si>
    <t>Utilisateurs (accès équipe)</t>
  </si>
  <si>
    <t>1</t>
  </si>
  <si>
    <t>1 user = suffisant pour GYM V1</t>
  </si>
  <si>
    <t>Email (lent)</t>
  </si>
  <si>
    <t>Email + Prioritaire</t>
  </si>
  <si>
    <t>✅ Lancement</t>
  </si>
  <si>
    <t>✅ Starter — 9 €</t>
  </si>
  <si>
    <t>❌ Inutile MVP</t>
  </si>
  <si>
    <t>👉 Free au lancement → Starter (9€) dès que volume dépasse 300/jour</t>
  </si>
  <si>
    <t xml:space="preserve">  💳  STRIPE  (Paiements, Stripe Connect virements coachs, Remboursements)</t>
  </si>
  <si>
    <t>Abonnement fixe mensuel</t>
  </si>
  <si>
    <t>Stripe = 100% variable, zero abonnement</t>
  </si>
  <si>
    <t>Carte europeenne standard (FR/EU)</t>
  </si>
  <si>
    <t>1,5% + 0,25€/tx</t>
  </si>
  <si>
    <t>Ex: 60€ reservation → ~1,15€ de frais Stripe</t>
  </si>
  <si>
    <t>Carte europeenne premium (commerciale)</t>
  </si>
  <si>
    <t>1,9% + 0,25€/tx</t>
  </si>
  <si>
    <t>Cartes Amex, Gold, Business — plus rares mais a prevoir</t>
  </si>
  <si>
    <t>Carte internationale (hors EU/UK)</t>
  </si>
  <si>
    <t>3,25% + 0,25€/tx</t>
  </si>
  <si>
    <t>Peu probable pour marche FR au lancement</t>
  </si>
  <si>
    <t>Carte britannique (UK)</t>
  </si>
  <si>
    <t>2,5% + 0,25€/tx</t>
  </si>
  <si>
    <t>Post-Brexit — taux specifique UK</t>
  </si>
  <si>
    <t>Frais de litige / chargeback</t>
  </si>
  <si>
    <t>20€ / litige</t>
  </si>
  <si>
    <t>Rembourse si gagne, perdu si dispute perdue</t>
  </si>
  <si>
    <t>SEPA (virement bancaire direct)</t>
  </si>
  <si>
    <t>0,35€ / tx</t>
  </si>
  <si>
    <t>Option interessante pour grosses transactions B2B</t>
  </si>
  <si>
    <t>3D Secure (SCA europeen)</t>
  </si>
  <si>
    <t>0,03€ / tx</t>
  </si>
  <si>
    <t>Demande aleatoire par la banque — prevoir dans le calcul</t>
  </si>
  <si>
    <t>Stripe Connect — frais plateforme</t>
  </si>
  <si>
    <t>0,25% + 0,25€/vir</t>
  </si>
  <si>
    <t>Si GYM gere la tarification (recommande) — par virement coach</t>
  </si>
  <si>
    <t>Stripe Connect — compte actif coach</t>
  </si>
  <si>
    <t>2$/coach actif/mois</t>
  </si>
  <si>
    <t>Coach actif = mois ou un virement est envoye vers sa banque</t>
  </si>
  <si>
    <t>Stripe Checkout (page de paiement)</t>
  </si>
  <si>
    <t>Inclus</t>
  </si>
  <si>
    <t>Page securisee hebergee — recommande pour GYM</t>
  </si>
  <si>
    <t>Webhooks Stripe</t>
  </si>
  <si>
    <t>Indispensable pour automatiser confirmations GYM</t>
  </si>
  <si>
    <t>Remboursements (Refund API)</t>
  </si>
  <si>
    <t>Frais Stripe perdus</t>
  </si>
  <si>
    <t>Les frais 1,5%+0,25€ ne sont PAS rembourses en cas de refund</t>
  </si>
  <si>
    <t>Dashboard &amp; exports CSV</t>
  </si>
  <si>
    <t>Historique transactions, reporting — inclus partout</t>
  </si>
  <si>
    <t>✅ Modele recommande GYM</t>
  </si>
  <si>
    <t>Vous gerez la tarif</t>
  </si>
  <si>
    <t>GYM facture commission 15% aux coachs — frais Stripe couverts</t>
  </si>
  <si>
    <t xml:space="preserve">  🌐  NOM DE DOMAINE  (ex: getyourmentor.fr ou .com)</t>
  </si>
  <si>
    <t>Domaine .fr / an</t>
  </si>
  <si>
    <t>~7 €/an</t>
  </si>
  <si>
    <t>OVH, Namecheap, Cloudflare — ~0,60 €/mois</t>
  </si>
  <si>
    <t>Domaine .com / an</t>
  </si>
  <si>
    <t>~10–15 €/an</t>
  </si>
  <si>
    <t>~1 €/mois</t>
  </si>
  <si>
    <t>SSL/HTTPS</t>
  </si>
  <si>
    <t>Gratuit (Vercel)</t>
  </si>
  <si>
    <t>Inclus automatiquement dans Vercel</t>
  </si>
  <si>
    <t>✅ Recommandation GYM</t>
  </si>
  <si>
    <t>👉 .fr ou .com — à prendre dès maintenant</t>
  </si>
  <si>
    <t>📊  RÉCAPITULATIF BUDGÉTAIRE PAR PHASE</t>
  </si>
  <si>
    <t>Service</t>
  </si>
  <si>
    <t>🚀 Lancement (J+0)</t>
  </si>
  <si>
    <t>📈 Croissance (~200 users)</t>
  </si>
  <si>
    <t>⚡ Scale (~2 000+ users)</t>
  </si>
  <si>
    <t>Remarque</t>
  </si>
  <si>
    <t>Supabase</t>
  </si>
  <si>
    <t>Free — 0 €</t>
  </si>
  <si>
    <t>Pro — 25 €</t>
  </si>
  <si>
    <t>Pro — 25 €+</t>
  </si>
  <si>
    <t>Passer au Pro dès mise en production</t>
  </si>
  <si>
    <t>Vercel</t>
  </si>
  <si>
    <t>Pro — 20 €</t>
  </si>
  <si>
    <t>Pro — 20 €+</t>
  </si>
  <si>
    <t>Pro obligatoire (usage commercial)</t>
  </si>
  <si>
    <t>Brevo</t>
  </si>
  <si>
    <t>Starter — 9 €</t>
  </si>
  <si>
    <t>Business — 18 €</t>
  </si>
  <si>
    <t>Free OK si &lt;300 emails/jour — Starter sinon</t>
  </si>
  <si>
    <t>Domaine</t>
  </si>
  <si>
    <t>~1 €</t>
  </si>
  <si>
    <t>Coût fixe et stable</t>
  </si>
  <si>
    <t>Stripe</t>
  </si>
  <si>
    <t>Variable</t>
  </si>
  <si>
    <t>Carte EU standard : 1,5%+0,25€ | +0,25%+0,25€ virement coach</t>
  </si>
  <si>
    <t>TOTAL FIXE / MOIS</t>
  </si>
  <si>
    <t>~21 €/mois</t>
  </si>
  <si>
    <t>~55 €/mois</t>
  </si>
  <si>
    <t>~65 €/mois</t>
  </si>
  <si>
    <t>+ Stripe variable selon CA</t>
  </si>
  <si>
    <t>💡 Stripe France : carte EU standard = 1,5% + 0,25€/tx. Carte premium (Amex/Business) = 1,9% + 0,25€. Litige = 20€. Connect (virement coach) = 0,25%+0,25€/vir + 2$/compte actif/mois. Commission GYM 15% couvre largement tous ces frais.</t>
  </si>
  <si>
    <t>⚠️ Supabase Free se COUPE automatiquement après 7 jours d'inactivité → NE PAS utiliser en production. Passer au Pro (25€) dès le lancement.</t>
  </si>
  <si>
    <t>⚠️ Vercel Hobby est INTERDIT pour usage commercial. Le plan Pro à 20€/mois est obligatoire dès que la plateforme est en production.</t>
  </si>
  <si>
    <t>💳  Simulation coûts Stripe vs Revenus GYM (commission 15%)</t>
  </si>
  <si>
    <t>Frais Stripe carte EU : 1,5% + 0,25€ / transaction  |  Stripe Connect virement coach : +0,25€</t>
  </si>
  <si>
    <t>Scénario</t>
  </si>
  <si>
    <t>Réservations/mois</t>
  </si>
  <si>
    <t>Prix moy. réservation</t>
  </si>
  <si>
    <t>CA mensuel</t>
  </si>
  <si>
    <t>Frais Stripe estimés</t>
  </si>
  <si>
    <t>Commission GYM (15%)</t>
  </si>
  <si>
    <t>Très petit lancement</t>
  </si>
  <si>
    <t>Lancement</t>
  </si>
  <si>
    <t>Croissance</t>
  </si>
  <si>
    <t>Forte croissance</t>
  </si>
  <si>
    <t>Scale</t>
  </si>
  <si>
    <t>📌 La commission GYM (15%) couvre largement les frais Stripe (~1,75%). Rentabilité immédiate dès la 1ère transaction.</t>
  </si>
  <si>
    <t>Tous les prix sont en EUR HT/mois — Sources : supabase.com, vercel.com, brevo.com, stripe.com (Mars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</si>
</sst>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BDC3C7"/>
      <name val="Arial"/>
      <charset val="1"/>
    </font>
    <font>
      <b/>
      <sz val="10"/>
      <color rgb="FFFFFFFF"/>
      <name val="Arial"/>
      <charset val="1"/>
    </font>
    <font>
      <b/>
      <sz val="10"/>
      <color rgb="FFE9456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C0392B"/>
      <name val="Arial"/>
      <charset val="1"/>
    </font>
    <font>
      <sz val="9"/>
      <color rgb="FF1E8449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1C40F"/>
      <name val="Arial"/>
      <charset val="1"/>
    </font>
    <font>
      <i/>
      <sz val="9"/>
      <color rgb="FF1A5276"/>
      <name val="Arial"/>
      <charset val="1"/>
    </font>
    <font>
      <i/>
      <sz val="9"/>
      <color rgb="FF922B21"/>
      <name val="Arial"/>
      <charset val="1"/>
    </font>
    <font>
      <b/>
      <sz val="12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2C3E50"/>
        <bgColor rgb="FF1A5276"/>
      </patternFill>
    </fill>
    <fill>
      <patternFill patternType="solid">
        <fgColor rgb="FF145A32"/>
        <bgColor rgb="FF1A5276"/>
      </patternFill>
    </fill>
    <fill>
      <patternFill patternType="solid">
        <fgColor rgb="FF1A5276"/>
        <bgColor rgb="FF2C3E50"/>
      </patternFill>
    </fill>
    <fill>
      <patternFill patternType="solid">
        <fgColor rgb="FF7D6608"/>
        <bgColor rgb="FF808080"/>
      </patternFill>
    </fill>
    <fill>
      <patternFill patternType="solid">
        <fgColor rgb="FF16213E"/>
        <bgColor rgb="FF1A1A2E"/>
      </patternFill>
    </fill>
    <fill>
      <patternFill patternType="solid">
        <fgColor rgb="FFF2F3F4"/>
        <bgColor rgb="FFEBF5FB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2F3F4"/>
      </patternFill>
    </fill>
    <fill>
      <patternFill patternType="solid">
        <fgColor rgb="FFFFFFFF"/>
        <bgColor rgb="FFFEF9E7"/>
      </patternFill>
    </fill>
    <fill>
      <patternFill patternType="solid">
        <fgColor rgb="FFEBF5FB"/>
        <bgColor rgb="FFF2F3F4"/>
      </patternFill>
    </fill>
    <fill>
      <patternFill patternType="solid">
        <fgColor rgb="FFFDEDEC"/>
        <bgColor rgb="FFF2F3F4"/>
      </patternFill>
    </fill>
  </fills>
  <borders count="3">
    <border>
      <left/>
      <right/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2" fillId="13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left" vertical="center"/>
    </xf>
    <xf numFmtId="0" fontId="16" fillId="8" borderId="2" xfId="0" applyFont="1" applyFill="1" applyBorder="1" applyAlignment="1">
      <alignment horizontal="center" vertical="center"/>
    </xf>
    <xf numFmtId="164" fontId="16" fillId="8" borderId="2" xfId="0" applyNumberFormat="1" applyFont="1" applyFill="1" applyBorder="1" applyAlignment="1">
      <alignment horizontal="center" vertical="center"/>
    </xf>
    <xf numFmtId="164" fontId="16" fillId="10" borderId="2" xfId="0" applyNumberFormat="1" applyFont="1" applyFill="1" applyBorder="1" applyAlignment="1">
      <alignment horizontal="center" vertical="center"/>
    </xf>
    <xf numFmtId="164" fontId="16" fillId="14" borderId="2" xfId="0" applyNumberFormat="1" applyFont="1" applyFill="1" applyBorder="1" applyAlignment="1">
      <alignment horizontal="center" vertical="center"/>
    </xf>
    <xf numFmtId="164" fontId="16" fillId="9" borderId="2" xfId="0" applyNumberFormat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164" fontId="16" fillId="1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008080"/>
      <rgbColor rgb="FFBDC3C7"/>
      <rgbColor rgb="FF808080"/>
      <rgbColor rgb="FF9999FF"/>
      <rgbColor rgb="FFC0392B"/>
      <rgbColor rgb="FFFEF9E7"/>
      <rgbColor rgb="FFD6EAF8"/>
      <rgbColor rgb="FF660066"/>
      <rgbColor rgb="FFFF8080"/>
      <rgbColor rgb="FF0066CC"/>
      <rgbColor rgb="FFF2F3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94560"/>
      <rgbColor rgb="FF666699"/>
      <rgbColor rgb="FF969696"/>
      <rgbColor rgb="FF16213E"/>
      <rgbColor rgb="FF1E8449"/>
      <rgbColor rgb="FF003300"/>
      <rgbColor rgb="FF1A1A2E"/>
      <rgbColor rgb="FF922B21"/>
      <rgbColor rgb="FF993366"/>
      <rgbColor rgb="FF1A5276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zoomScaleNormal="100" workbookViewId="0">
      <selection activeCell="J13" sqref="J13"/>
    </sheetView>
  </sheetViews>
  <sheetFormatPr baseColWidth="10" defaultColWidth="8.7109375" defaultRowHeight="15" x14ac:dyDescent="0.25"/>
  <cols>
    <col min="1" max="1" width="32" customWidth="1"/>
    <col min="2" max="4" width="22" customWidth="1"/>
    <col min="5" max="5" width="36" customWidth="1"/>
  </cols>
  <sheetData>
    <row r="1" spans="1:5" ht="36" customHeight="1" x14ac:dyDescent="0.25">
      <c r="A1" s="8" t="s">
        <v>0</v>
      </c>
      <c r="B1" s="8"/>
      <c r="C1" s="8"/>
      <c r="D1" s="8"/>
      <c r="E1" s="8"/>
    </row>
    <row r="2" spans="1:5" ht="18" customHeight="1" x14ac:dyDescent="0.25">
      <c r="A2" s="7" t="s">
        <v>301</v>
      </c>
      <c r="B2" s="7"/>
      <c r="C2" s="7"/>
      <c r="D2" s="7"/>
      <c r="E2" s="7"/>
    </row>
    <row r="4" spans="1:5" ht="27.75" customHeight="1" x14ac:dyDescent="0.25">
      <c r="A4" s="9" t="s">
        <v>1</v>
      </c>
      <c r="B4" s="10" t="s">
        <v>2</v>
      </c>
      <c r="C4" s="11" t="s">
        <v>3</v>
      </c>
      <c r="D4" s="12" t="s">
        <v>4</v>
      </c>
      <c r="E4" s="9" t="s">
        <v>5</v>
      </c>
    </row>
    <row r="5" spans="1:5" ht="21.75" customHeight="1" x14ac:dyDescent="0.25">
      <c r="A5" s="6" t="s">
        <v>6</v>
      </c>
      <c r="B5" s="6"/>
      <c r="C5" s="6"/>
      <c r="D5" s="6"/>
      <c r="E5" s="6"/>
    </row>
    <row r="6" spans="1:5" ht="18" customHeight="1" x14ac:dyDescent="0.25">
      <c r="A6" s="13" t="s">
        <v>7</v>
      </c>
      <c r="B6" s="14" t="s">
        <v>8</v>
      </c>
      <c r="C6" s="15" t="s">
        <v>9</v>
      </c>
      <c r="D6" s="16" t="s">
        <v>10</v>
      </c>
      <c r="E6" s="17" t="s">
        <v>11</v>
      </c>
    </row>
    <row r="7" spans="1:5" ht="18" customHeight="1" x14ac:dyDescent="0.25">
      <c r="A7" s="18" t="s">
        <v>12</v>
      </c>
      <c r="B7" s="19" t="s">
        <v>13</v>
      </c>
      <c r="C7" s="15" t="s">
        <v>14</v>
      </c>
      <c r="D7" s="16" t="s">
        <v>14</v>
      </c>
      <c r="E7" s="20" t="s">
        <v>15</v>
      </c>
    </row>
    <row r="8" spans="1:5" ht="18" customHeight="1" x14ac:dyDescent="0.25">
      <c r="A8" s="13" t="s">
        <v>16</v>
      </c>
      <c r="B8" s="14" t="s">
        <v>17</v>
      </c>
      <c r="C8" s="15" t="s">
        <v>18</v>
      </c>
      <c r="D8" s="16" t="s">
        <v>18</v>
      </c>
      <c r="E8" s="17" t="s">
        <v>19</v>
      </c>
    </row>
    <row r="9" spans="1:5" ht="18" customHeight="1" x14ac:dyDescent="0.25">
      <c r="A9" s="18" t="s">
        <v>20</v>
      </c>
      <c r="B9" s="14" t="s">
        <v>21</v>
      </c>
      <c r="C9" s="15" t="s">
        <v>22</v>
      </c>
      <c r="D9" s="16" t="s">
        <v>22</v>
      </c>
      <c r="E9" s="20" t="s">
        <v>23</v>
      </c>
    </row>
    <row r="10" spans="1:5" ht="18" customHeight="1" x14ac:dyDescent="0.25">
      <c r="A10" s="13" t="s">
        <v>24</v>
      </c>
      <c r="B10" s="14" t="s">
        <v>25</v>
      </c>
      <c r="C10" s="15" t="s">
        <v>26</v>
      </c>
      <c r="D10" s="16" t="s">
        <v>27</v>
      </c>
      <c r="E10" s="17" t="s">
        <v>28</v>
      </c>
    </row>
    <row r="11" spans="1:5" ht="18" customHeight="1" x14ac:dyDescent="0.25">
      <c r="A11" s="18" t="s">
        <v>29</v>
      </c>
      <c r="B11" s="14" t="s">
        <v>30</v>
      </c>
      <c r="C11" s="15" t="s">
        <v>31</v>
      </c>
      <c r="D11" s="16" t="s">
        <v>31</v>
      </c>
      <c r="E11" s="20" t="s">
        <v>32</v>
      </c>
    </row>
    <row r="12" spans="1:5" ht="18" customHeight="1" x14ac:dyDescent="0.25">
      <c r="A12" s="13" t="s">
        <v>33</v>
      </c>
      <c r="B12" s="14" t="s">
        <v>34</v>
      </c>
      <c r="C12" s="15" t="s">
        <v>35</v>
      </c>
      <c r="D12" s="16" t="s">
        <v>36</v>
      </c>
      <c r="E12" s="17" t="s">
        <v>37</v>
      </c>
    </row>
    <row r="13" spans="1:5" ht="18" customHeight="1" x14ac:dyDescent="0.25">
      <c r="A13" s="18" t="s">
        <v>38</v>
      </c>
      <c r="B13" s="21" t="s">
        <v>39</v>
      </c>
      <c r="C13" s="22" t="s">
        <v>39</v>
      </c>
      <c r="D13" s="23" t="s">
        <v>39</v>
      </c>
      <c r="E13" s="20" t="s">
        <v>40</v>
      </c>
    </row>
    <row r="14" spans="1:5" ht="18" customHeight="1" x14ac:dyDescent="0.25">
      <c r="A14" s="13" t="s">
        <v>41</v>
      </c>
      <c r="B14" s="21" t="s">
        <v>39</v>
      </c>
      <c r="C14" s="22" t="s">
        <v>39</v>
      </c>
      <c r="D14" s="23" t="s">
        <v>39</v>
      </c>
      <c r="E14" s="17" t="s">
        <v>42</v>
      </c>
    </row>
    <row r="15" spans="1:5" ht="18" customHeight="1" x14ac:dyDescent="0.25">
      <c r="A15" s="18" t="s">
        <v>43</v>
      </c>
      <c r="B15" s="14" t="s">
        <v>44</v>
      </c>
      <c r="C15" s="22" t="s">
        <v>39</v>
      </c>
      <c r="D15" s="23" t="s">
        <v>39</v>
      </c>
      <c r="E15" s="20" t="s">
        <v>45</v>
      </c>
    </row>
    <row r="16" spans="1:5" ht="18" customHeight="1" x14ac:dyDescent="0.25">
      <c r="A16" s="13" t="s">
        <v>46</v>
      </c>
      <c r="B16" s="14" t="s">
        <v>47</v>
      </c>
      <c r="C16" s="15" t="s">
        <v>48</v>
      </c>
      <c r="D16" s="16" t="s">
        <v>48</v>
      </c>
      <c r="E16" s="17" t="s">
        <v>49</v>
      </c>
    </row>
    <row r="17" spans="1:5" ht="18" customHeight="1" x14ac:dyDescent="0.25">
      <c r="A17" s="18" t="s">
        <v>50</v>
      </c>
      <c r="B17" s="19" t="s">
        <v>13</v>
      </c>
      <c r="C17" s="15" t="s">
        <v>51</v>
      </c>
      <c r="D17" s="16" t="s">
        <v>52</v>
      </c>
      <c r="E17" s="20" t="s">
        <v>53</v>
      </c>
    </row>
    <row r="18" spans="1:5" ht="18" customHeight="1" x14ac:dyDescent="0.25">
      <c r="A18" s="13" t="s">
        <v>54</v>
      </c>
      <c r="B18" s="14" t="s">
        <v>55</v>
      </c>
      <c r="C18" s="24" t="s">
        <v>13</v>
      </c>
      <c r="D18" s="25" t="s">
        <v>13</v>
      </c>
      <c r="E18" s="17" t="s">
        <v>56</v>
      </c>
    </row>
    <row r="19" spans="1:5" ht="18" customHeight="1" x14ac:dyDescent="0.25">
      <c r="A19" s="18" t="s">
        <v>57</v>
      </c>
      <c r="B19" s="19" t="s">
        <v>13</v>
      </c>
      <c r="C19" s="15" t="s">
        <v>58</v>
      </c>
      <c r="D19" s="23" t="s">
        <v>39</v>
      </c>
      <c r="E19" s="20" t="s">
        <v>59</v>
      </c>
    </row>
    <row r="20" spans="1:5" ht="18" customHeight="1" x14ac:dyDescent="0.25">
      <c r="A20" s="13" t="s">
        <v>60</v>
      </c>
      <c r="B20" s="19" t="s">
        <v>13</v>
      </c>
      <c r="C20" s="15" t="s">
        <v>61</v>
      </c>
      <c r="D20" s="16" t="s">
        <v>62</v>
      </c>
      <c r="E20" s="17" t="s">
        <v>63</v>
      </c>
    </row>
    <row r="21" spans="1:5" ht="18" customHeight="1" x14ac:dyDescent="0.25">
      <c r="A21" s="18" t="s">
        <v>64</v>
      </c>
      <c r="B21" s="14" t="s">
        <v>65</v>
      </c>
      <c r="C21" s="15" t="s">
        <v>66</v>
      </c>
      <c r="D21" s="16" t="s">
        <v>67</v>
      </c>
      <c r="E21" s="20" t="s">
        <v>68</v>
      </c>
    </row>
    <row r="22" spans="1:5" ht="18" customHeight="1" x14ac:dyDescent="0.25">
      <c r="A22" s="13" t="s">
        <v>69</v>
      </c>
      <c r="B22" s="19" t="s">
        <v>13</v>
      </c>
      <c r="C22" s="24" t="s">
        <v>13</v>
      </c>
      <c r="D22" s="23" t="s">
        <v>39</v>
      </c>
      <c r="E22" s="17" t="s">
        <v>70</v>
      </c>
    </row>
    <row r="23" spans="1:5" ht="18" customHeight="1" x14ac:dyDescent="0.25">
      <c r="A23" s="18" t="s">
        <v>71</v>
      </c>
      <c r="B23" s="19" t="s">
        <v>13</v>
      </c>
      <c r="C23" s="24" t="s">
        <v>13</v>
      </c>
      <c r="D23" s="23" t="s">
        <v>39</v>
      </c>
      <c r="E23" s="20" t="s">
        <v>72</v>
      </c>
    </row>
    <row r="24" spans="1:5" ht="18" customHeight="1" x14ac:dyDescent="0.25">
      <c r="A24" s="13" t="s">
        <v>73</v>
      </c>
      <c r="B24" s="14" t="s">
        <v>74</v>
      </c>
      <c r="C24" s="15" t="s">
        <v>75</v>
      </c>
      <c r="D24" s="16" t="s">
        <v>76</v>
      </c>
      <c r="E24" s="17" t="s">
        <v>77</v>
      </c>
    </row>
    <row r="26" spans="1:5" ht="21.75" customHeight="1" x14ac:dyDescent="0.25">
      <c r="A26" s="6" t="s">
        <v>78</v>
      </c>
      <c r="B26" s="6"/>
      <c r="C26" s="6"/>
      <c r="D26" s="6"/>
      <c r="E26" s="6"/>
    </row>
    <row r="27" spans="1:5" ht="18" customHeight="1" x14ac:dyDescent="0.25">
      <c r="A27" s="13" t="s">
        <v>79</v>
      </c>
      <c r="B27" s="14" t="s">
        <v>80</v>
      </c>
      <c r="C27" s="15" t="s">
        <v>81</v>
      </c>
      <c r="D27" s="16" t="s">
        <v>82</v>
      </c>
      <c r="E27" s="17" t="s">
        <v>83</v>
      </c>
    </row>
    <row r="28" spans="1:5" ht="18" customHeight="1" x14ac:dyDescent="0.25">
      <c r="A28" s="18" t="s">
        <v>84</v>
      </c>
      <c r="B28" s="14" t="s">
        <v>85</v>
      </c>
      <c r="C28" s="22" t="s">
        <v>39</v>
      </c>
      <c r="D28" s="23" t="s">
        <v>39</v>
      </c>
      <c r="E28" s="20" t="s">
        <v>86</v>
      </c>
    </row>
    <row r="29" spans="1:5" ht="18" customHeight="1" x14ac:dyDescent="0.25">
      <c r="A29" s="13" t="s">
        <v>87</v>
      </c>
      <c r="B29" s="14" t="s">
        <v>88</v>
      </c>
      <c r="C29" s="15" t="s">
        <v>89</v>
      </c>
      <c r="D29" s="16" t="s">
        <v>90</v>
      </c>
      <c r="E29" s="17" t="s">
        <v>91</v>
      </c>
    </row>
    <row r="30" spans="1:5" ht="18" customHeight="1" x14ac:dyDescent="0.25">
      <c r="A30" s="18" t="s">
        <v>92</v>
      </c>
      <c r="B30" s="14" t="s">
        <v>93</v>
      </c>
      <c r="C30" s="15" t="s">
        <v>94</v>
      </c>
      <c r="D30" s="16" t="s">
        <v>95</v>
      </c>
      <c r="E30" s="20" t="s">
        <v>96</v>
      </c>
    </row>
    <row r="31" spans="1:5" ht="18" customHeight="1" x14ac:dyDescent="0.25">
      <c r="A31" s="13" t="s">
        <v>97</v>
      </c>
      <c r="B31" s="14" t="s">
        <v>98</v>
      </c>
      <c r="C31" s="15" t="s">
        <v>99</v>
      </c>
      <c r="D31" s="16" t="s">
        <v>95</v>
      </c>
      <c r="E31" s="17" t="s">
        <v>100</v>
      </c>
    </row>
    <row r="32" spans="1:5" ht="18" customHeight="1" x14ac:dyDescent="0.25">
      <c r="A32" s="18" t="s">
        <v>101</v>
      </c>
      <c r="B32" s="14" t="s">
        <v>102</v>
      </c>
      <c r="C32" s="15" t="s">
        <v>103</v>
      </c>
      <c r="D32" s="16" t="s">
        <v>90</v>
      </c>
      <c r="E32" s="20" t="s">
        <v>104</v>
      </c>
    </row>
    <row r="33" spans="1:5" ht="18" customHeight="1" x14ac:dyDescent="0.25">
      <c r="A33" s="13" t="s">
        <v>105</v>
      </c>
      <c r="B33" s="14" t="s">
        <v>106</v>
      </c>
      <c r="C33" s="15" t="s">
        <v>107</v>
      </c>
      <c r="D33" s="16" t="s">
        <v>90</v>
      </c>
      <c r="E33" s="17" t="s">
        <v>108</v>
      </c>
    </row>
    <row r="34" spans="1:5" ht="18" customHeight="1" x14ac:dyDescent="0.25">
      <c r="A34" s="18" t="s">
        <v>109</v>
      </c>
      <c r="B34" s="14" t="s">
        <v>88</v>
      </c>
      <c r="C34" s="15" t="s">
        <v>110</v>
      </c>
      <c r="D34" s="16" t="s">
        <v>90</v>
      </c>
      <c r="E34" s="20" t="s">
        <v>111</v>
      </c>
    </row>
    <row r="35" spans="1:5" ht="18" customHeight="1" x14ac:dyDescent="0.25">
      <c r="A35" s="13" t="s">
        <v>112</v>
      </c>
      <c r="B35" s="21" t="s">
        <v>39</v>
      </c>
      <c r="C35" s="22" t="s">
        <v>39</v>
      </c>
      <c r="D35" s="23" t="s">
        <v>39</v>
      </c>
      <c r="E35" s="17" t="s">
        <v>113</v>
      </c>
    </row>
    <row r="36" spans="1:5" ht="18" customHeight="1" x14ac:dyDescent="0.25">
      <c r="A36" s="18" t="s">
        <v>114</v>
      </c>
      <c r="B36" s="21" t="s">
        <v>39</v>
      </c>
      <c r="C36" s="22" t="s">
        <v>39</v>
      </c>
      <c r="D36" s="23" t="s">
        <v>39</v>
      </c>
      <c r="E36" s="20" t="s">
        <v>115</v>
      </c>
    </row>
    <row r="37" spans="1:5" ht="18" customHeight="1" x14ac:dyDescent="0.25">
      <c r="A37" s="13" t="s">
        <v>116</v>
      </c>
      <c r="B37" s="21" t="s">
        <v>39</v>
      </c>
      <c r="C37" s="22" t="s">
        <v>39</v>
      </c>
      <c r="D37" s="23" t="s">
        <v>39</v>
      </c>
      <c r="E37" s="17" t="s">
        <v>117</v>
      </c>
    </row>
    <row r="38" spans="1:5" ht="18" customHeight="1" x14ac:dyDescent="0.25">
      <c r="A38" s="18" t="s">
        <v>118</v>
      </c>
      <c r="B38" s="21" t="s">
        <v>39</v>
      </c>
      <c r="C38" s="22" t="s">
        <v>39</v>
      </c>
      <c r="D38" s="23" t="s">
        <v>39</v>
      </c>
      <c r="E38" s="20" t="s">
        <v>119</v>
      </c>
    </row>
    <row r="39" spans="1:5" ht="18" customHeight="1" x14ac:dyDescent="0.25">
      <c r="A39" s="13" t="s">
        <v>120</v>
      </c>
      <c r="B39" s="14" t="s">
        <v>121</v>
      </c>
      <c r="C39" s="15" t="s">
        <v>122</v>
      </c>
      <c r="D39" s="16" t="s">
        <v>90</v>
      </c>
      <c r="E39" s="17" t="s">
        <v>123</v>
      </c>
    </row>
    <row r="40" spans="1:5" ht="18" customHeight="1" x14ac:dyDescent="0.25">
      <c r="A40" s="18" t="s">
        <v>124</v>
      </c>
      <c r="B40" s="14" t="s">
        <v>125</v>
      </c>
      <c r="C40" s="15" t="s">
        <v>126</v>
      </c>
      <c r="D40" s="16" t="s">
        <v>90</v>
      </c>
      <c r="E40" s="20" t="s">
        <v>127</v>
      </c>
    </row>
    <row r="41" spans="1:5" ht="18" customHeight="1" x14ac:dyDescent="0.25">
      <c r="A41" s="13" t="s">
        <v>128</v>
      </c>
      <c r="B41" s="19" t="s">
        <v>13</v>
      </c>
      <c r="C41" s="22" t="s">
        <v>39</v>
      </c>
      <c r="D41" s="23" t="s">
        <v>39</v>
      </c>
      <c r="E41" s="17" t="s">
        <v>129</v>
      </c>
    </row>
    <row r="42" spans="1:5" ht="18" customHeight="1" x14ac:dyDescent="0.25">
      <c r="A42" s="18" t="s">
        <v>130</v>
      </c>
      <c r="B42" s="21" t="s">
        <v>39</v>
      </c>
      <c r="C42" s="22" t="s">
        <v>39</v>
      </c>
      <c r="D42" s="23" t="s">
        <v>39</v>
      </c>
      <c r="E42" s="20" t="s">
        <v>131</v>
      </c>
    </row>
    <row r="43" spans="1:5" ht="18" customHeight="1" x14ac:dyDescent="0.25">
      <c r="A43" s="13" t="s">
        <v>132</v>
      </c>
      <c r="B43" s="14" t="s">
        <v>133</v>
      </c>
      <c r="C43" s="15" t="s">
        <v>134</v>
      </c>
      <c r="D43" s="16" t="s">
        <v>95</v>
      </c>
      <c r="E43" s="17" t="s">
        <v>135</v>
      </c>
    </row>
    <row r="44" spans="1:5" ht="18" customHeight="1" x14ac:dyDescent="0.25">
      <c r="A44" s="18" t="s">
        <v>64</v>
      </c>
      <c r="B44" s="14" t="s">
        <v>136</v>
      </c>
      <c r="C44" s="15" t="s">
        <v>66</v>
      </c>
      <c r="D44" s="16" t="s">
        <v>137</v>
      </c>
      <c r="E44" s="20" t="s">
        <v>68</v>
      </c>
    </row>
    <row r="45" spans="1:5" ht="18" customHeight="1" x14ac:dyDescent="0.25">
      <c r="A45" s="13" t="s">
        <v>138</v>
      </c>
      <c r="B45" s="14" t="s">
        <v>139</v>
      </c>
      <c r="C45" s="15" t="s">
        <v>140</v>
      </c>
      <c r="D45" s="16" t="s">
        <v>140</v>
      </c>
      <c r="E45" s="17" t="s">
        <v>141</v>
      </c>
    </row>
    <row r="46" spans="1:5" ht="18" customHeight="1" x14ac:dyDescent="0.25">
      <c r="A46" s="18" t="s">
        <v>142</v>
      </c>
      <c r="B46" s="14" t="s">
        <v>143</v>
      </c>
      <c r="C46" s="15" t="s">
        <v>144</v>
      </c>
      <c r="D46" s="23" t="s">
        <v>39</v>
      </c>
      <c r="E46" s="20" t="s">
        <v>145</v>
      </c>
    </row>
    <row r="47" spans="1:5" ht="18" customHeight="1" x14ac:dyDescent="0.25">
      <c r="A47" s="13" t="s">
        <v>146</v>
      </c>
      <c r="B47" s="14" t="s">
        <v>147</v>
      </c>
      <c r="C47" s="15" t="s">
        <v>148</v>
      </c>
      <c r="D47" s="16" t="s">
        <v>76</v>
      </c>
      <c r="E47" s="17" t="s">
        <v>149</v>
      </c>
    </row>
    <row r="49" spans="1:5" ht="21.75" customHeight="1" x14ac:dyDescent="0.25">
      <c r="A49" s="6" t="s">
        <v>150</v>
      </c>
      <c r="B49" s="6"/>
      <c r="C49" s="6"/>
      <c r="D49" s="6"/>
      <c r="E49" s="6"/>
    </row>
    <row r="50" spans="1:5" ht="18" customHeight="1" x14ac:dyDescent="0.25">
      <c r="A50" s="13" t="s">
        <v>151</v>
      </c>
      <c r="B50" s="14" t="s">
        <v>152</v>
      </c>
      <c r="C50" s="15" t="s">
        <v>153</v>
      </c>
      <c r="D50" s="16" t="s">
        <v>154</v>
      </c>
      <c r="E50" s="17" t="s">
        <v>155</v>
      </c>
    </row>
    <row r="51" spans="1:5" ht="18" customHeight="1" x14ac:dyDescent="0.25">
      <c r="A51" s="18" t="s">
        <v>79</v>
      </c>
      <c r="B51" s="14" t="s">
        <v>156</v>
      </c>
      <c r="C51" s="15" t="s">
        <v>157</v>
      </c>
      <c r="D51" s="16" t="s">
        <v>158</v>
      </c>
      <c r="E51" s="20" t="s">
        <v>159</v>
      </c>
    </row>
    <row r="52" spans="1:5" ht="18" customHeight="1" x14ac:dyDescent="0.25">
      <c r="A52" s="13" t="s">
        <v>160</v>
      </c>
      <c r="B52" s="14" t="s">
        <v>161</v>
      </c>
      <c r="C52" s="15" t="s">
        <v>162</v>
      </c>
      <c r="D52" s="16" t="s">
        <v>163</v>
      </c>
      <c r="E52" s="17" t="s">
        <v>164</v>
      </c>
    </row>
    <row r="53" spans="1:5" ht="18" customHeight="1" x14ac:dyDescent="0.25">
      <c r="A53" s="18" t="s">
        <v>165</v>
      </c>
      <c r="B53" s="14" t="s">
        <v>166</v>
      </c>
      <c r="C53" s="15" t="s">
        <v>167</v>
      </c>
      <c r="D53" s="16" t="s">
        <v>167</v>
      </c>
      <c r="E53" s="20" t="s">
        <v>168</v>
      </c>
    </row>
    <row r="54" spans="1:5" ht="18" customHeight="1" x14ac:dyDescent="0.25">
      <c r="A54" s="13" t="s">
        <v>169</v>
      </c>
      <c r="B54" s="21" t="s">
        <v>39</v>
      </c>
      <c r="C54" s="22" t="s">
        <v>39</v>
      </c>
      <c r="D54" s="23" t="s">
        <v>39</v>
      </c>
      <c r="E54" s="17" t="s">
        <v>170</v>
      </c>
    </row>
    <row r="55" spans="1:5" ht="18" customHeight="1" x14ac:dyDescent="0.25">
      <c r="A55" s="18" t="s">
        <v>171</v>
      </c>
      <c r="B55" s="14" t="s">
        <v>172</v>
      </c>
      <c r="C55" s="15" t="s">
        <v>173</v>
      </c>
      <c r="D55" s="16" t="s">
        <v>174</v>
      </c>
      <c r="E55" s="20" t="s">
        <v>175</v>
      </c>
    </row>
    <row r="56" spans="1:5" ht="18" customHeight="1" x14ac:dyDescent="0.25">
      <c r="A56" s="13" t="s">
        <v>176</v>
      </c>
      <c r="B56" s="14" t="s">
        <v>177</v>
      </c>
      <c r="C56" s="15" t="s">
        <v>178</v>
      </c>
      <c r="D56" s="16" t="s">
        <v>179</v>
      </c>
      <c r="E56" s="17" t="s">
        <v>180</v>
      </c>
    </row>
    <row r="57" spans="1:5" ht="18" customHeight="1" x14ac:dyDescent="0.25">
      <c r="A57" s="18" t="s">
        <v>181</v>
      </c>
      <c r="B57" s="14" t="s">
        <v>182</v>
      </c>
      <c r="C57" s="15" t="s">
        <v>182</v>
      </c>
      <c r="D57" s="16" t="s">
        <v>183</v>
      </c>
      <c r="E57" s="20" t="s">
        <v>184</v>
      </c>
    </row>
    <row r="58" spans="1:5" ht="18" customHeight="1" x14ac:dyDescent="0.25">
      <c r="A58" s="13" t="s">
        <v>185</v>
      </c>
      <c r="B58" s="19" t="s">
        <v>13</v>
      </c>
      <c r="C58" s="24" t="s">
        <v>13</v>
      </c>
      <c r="D58" s="16" t="s">
        <v>186</v>
      </c>
      <c r="E58" s="17" t="s">
        <v>187</v>
      </c>
    </row>
    <row r="59" spans="1:5" ht="18" customHeight="1" x14ac:dyDescent="0.25">
      <c r="A59" s="18" t="s">
        <v>188</v>
      </c>
      <c r="B59" s="19" t="s">
        <v>13</v>
      </c>
      <c r="C59" s="24" t="s">
        <v>13</v>
      </c>
      <c r="D59" s="23" t="s">
        <v>39</v>
      </c>
      <c r="E59" s="20" t="s">
        <v>189</v>
      </c>
    </row>
    <row r="60" spans="1:5" ht="18" customHeight="1" x14ac:dyDescent="0.25">
      <c r="A60" s="13" t="s">
        <v>190</v>
      </c>
      <c r="B60" s="14" t="s">
        <v>191</v>
      </c>
      <c r="C60" s="15" t="s">
        <v>191</v>
      </c>
      <c r="D60" s="16" t="s">
        <v>18</v>
      </c>
      <c r="E60" s="17" t="s">
        <v>192</v>
      </c>
    </row>
    <row r="61" spans="1:5" ht="18" customHeight="1" x14ac:dyDescent="0.25">
      <c r="A61" s="18" t="s">
        <v>64</v>
      </c>
      <c r="B61" s="14" t="s">
        <v>193</v>
      </c>
      <c r="C61" s="15" t="s">
        <v>66</v>
      </c>
      <c r="D61" s="16" t="s">
        <v>194</v>
      </c>
      <c r="E61" s="20" t="s">
        <v>68</v>
      </c>
    </row>
    <row r="62" spans="1:5" ht="18" customHeight="1" x14ac:dyDescent="0.25">
      <c r="A62" s="13" t="s">
        <v>146</v>
      </c>
      <c r="B62" s="14" t="s">
        <v>195</v>
      </c>
      <c r="C62" s="15" t="s">
        <v>196</v>
      </c>
      <c r="D62" s="16" t="s">
        <v>197</v>
      </c>
      <c r="E62" s="17" t="s">
        <v>198</v>
      </c>
    </row>
    <row r="64" spans="1:5" ht="21.75" customHeight="1" x14ac:dyDescent="0.25">
      <c r="A64" s="6" t="s">
        <v>199</v>
      </c>
      <c r="B64" s="6"/>
      <c r="C64" s="6"/>
      <c r="D64" s="6"/>
      <c r="E64" s="6"/>
    </row>
    <row r="65" spans="1:5" ht="18" customHeight="1" x14ac:dyDescent="0.25">
      <c r="A65" s="13" t="s">
        <v>200</v>
      </c>
      <c r="B65" s="14" t="s">
        <v>156</v>
      </c>
      <c r="C65" s="15" t="s">
        <v>156</v>
      </c>
      <c r="D65" s="16" t="s">
        <v>156</v>
      </c>
      <c r="E65" s="17" t="s">
        <v>201</v>
      </c>
    </row>
    <row r="66" spans="1:5" ht="18" customHeight="1" x14ac:dyDescent="0.25">
      <c r="A66" s="18" t="s">
        <v>202</v>
      </c>
      <c r="B66" s="14" t="s">
        <v>68</v>
      </c>
      <c r="C66" s="15" t="s">
        <v>203</v>
      </c>
      <c r="D66" s="16" t="s">
        <v>68</v>
      </c>
      <c r="E66" s="20" t="s">
        <v>204</v>
      </c>
    </row>
    <row r="67" spans="1:5" ht="18" customHeight="1" x14ac:dyDescent="0.25">
      <c r="A67" s="13" t="s">
        <v>205</v>
      </c>
      <c r="B67" s="14" t="s">
        <v>68</v>
      </c>
      <c r="C67" s="15" t="s">
        <v>206</v>
      </c>
      <c r="D67" s="16" t="s">
        <v>68</v>
      </c>
      <c r="E67" s="17" t="s">
        <v>207</v>
      </c>
    </row>
    <row r="68" spans="1:5" ht="18" customHeight="1" x14ac:dyDescent="0.25">
      <c r="A68" s="18" t="s">
        <v>208</v>
      </c>
      <c r="B68" s="14" t="s">
        <v>68</v>
      </c>
      <c r="C68" s="15" t="s">
        <v>209</v>
      </c>
      <c r="D68" s="16" t="s">
        <v>68</v>
      </c>
      <c r="E68" s="20" t="s">
        <v>210</v>
      </c>
    </row>
    <row r="69" spans="1:5" ht="18" customHeight="1" x14ac:dyDescent="0.25">
      <c r="A69" s="13" t="s">
        <v>211</v>
      </c>
      <c r="B69" s="14" t="s">
        <v>68</v>
      </c>
      <c r="C69" s="15" t="s">
        <v>212</v>
      </c>
      <c r="D69" s="16" t="s">
        <v>68</v>
      </c>
      <c r="E69" s="17" t="s">
        <v>213</v>
      </c>
    </row>
    <row r="70" spans="1:5" ht="18" customHeight="1" x14ac:dyDescent="0.25">
      <c r="A70" s="18" t="s">
        <v>214</v>
      </c>
      <c r="B70" s="14" t="s">
        <v>68</v>
      </c>
      <c r="C70" s="15" t="s">
        <v>215</v>
      </c>
      <c r="D70" s="16" t="s">
        <v>68</v>
      </c>
      <c r="E70" s="20" t="s">
        <v>216</v>
      </c>
    </row>
    <row r="71" spans="1:5" ht="18" customHeight="1" x14ac:dyDescent="0.25">
      <c r="A71" s="13" t="s">
        <v>217</v>
      </c>
      <c r="B71" s="14" t="s">
        <v>68</v>
      </c>
      <c r="C71" s="15" t="s">
        <v>218</v>
      </c>
      <c r="D71" s="16" t="s">
        <v>68</v>
      </c>
      <c r="E71" s="17" t="s">
        <v>219</v>
      </c>
    </row>
    <row r="72" spans="1:5" ht="18" customHeight="1" x14ac:dyDescent="0.25">
      <c r="A72" s="18" t="s">
        <v>220</v>
      </c>
      <c r="B72" s="14" t="s">
        <v>68</v>
      </c>
      <c r="C72" s="15" t="s">
        <v>221</v>
      </c>
      <c r="D72" s="16" t="s">
        <v>68</v>
      </c>
      <c r="E72" s="20" t="s">
        <v>222</v>
      </c>
    </row>
    <row r="73" spans="1:5" ht="18" customHeight="1" x14ac:dyDescent="0.25">
      <c r="A73" s="13" t="s">
        <v>223</v>
      </c>
      <c r="B73" s="14" t="s">
        <v>68</v>
      </c>
      <c r="C73" s="15" t="s">
        <v>224</v>
      </c>
      <c r="D73" s="16" t="s">
        <v>68</v>
      </c>
      <c r="E73" s="17" t="s">
        <v>225</v>
      </c>
    </row>
    <row r="74" spans="1:5" ht="18" customHeight="1" x14ac:dyDescent="0.25">
      <c r="A74" s="18" t="s">
        <v>226</v>
      </c>
      <c r="B74" s="14" t="s">
        <v>68</v>
      </c>
      <c r="C74" s="15" t="s">
        <v>227</v>
      </c>
      <c r="D74" s="16" t="s">
        <v>68</v>
      </c>
      <c r="E74" s="20" t="s">
        <v>228</v>
      </c>
    </row>
    <row r="75" spans="1:5" ht="18" customHeight="1" x14ac:dyDescent="0.25">
      <c r="A75" s="13" t="s">
        <v>229</v>
      </c>
      <c r="B75" s="14" t="s">
        <v>68</v>
      </c>
      <c r="C75" s="15" t="s">
        <v>230</v>
      </c>
      <c r="D75" s="16" t="s">
        <v>68</v>
      </c>
      <c r="E75" s="17" t="s">
        <v>231</v>
      </c>
    </row>
    <row r="76" spans="1:5" ht="18" customHeight="1" x14ac:dyDescent="0.25">
      <c r="A76" s="18" t="s">
        <v>232</v>
      </c>
      <c r="B76" s="14" t="s">
        <v>68</v>
      </c>
      <c r="C76" s="15" t="s">
        <v>230</v>
      </c>
      <c r="D76" s="16" t="s">
        <v>68</v>
      </c>
      <c r="E76" s="20" t="s">
        <v>233</v>
      </c>
    </row>
    <row r="77" spans="1:5" ht="18" customHeight="1" x14ac:dyDescent="0.25">
      <c r="A77" s="13" t="s">
        <v>234</v>
      </c>
      <c r="B77" s="14" t="s">
        <v>68</v>
      </c>
      <c r="C77" s="15" t="s">
        <v>235</v>
      </c>
      <c r="D77" s="16" t="s">
        <v>68</v>
      </c>
      <c r="E77" s="17" t="s">
        <v>236</v>
      </c>
    </row>
    <row r="78" spans="1:5" ht="18" customHeight="1" x14ac:dyDescent="0.25">
      <c r="A78" s="18" t="s">
        <v>237</v>
      </c>
      <c r="B78" s="14" t="s">
        <v>68</v>
      </c>
      <c r="C78" s="15" t="s">
        <v>230</v>
      </c>
      <c r="D78" s="16" t="s">
        <v>68</v>
      </c>
      <c r="E78" s="20" t="s">
        <v>238</v>
      </c>
    </row>
    <row r="79" spans="1:5" ht="18" customHeight="1" x14ac:dyDescent="0.25">
      <c r="A79" s="13" t="s">
        <v>239</v>
      </c>
      <c r="B79" s="14" t="s">
        <v>68</v>
      </c>
      <c r="C79" s="15" t="s">
        <v>240</v>
      </c>
      <c r="D79" s="16" t="s">
        <v>68</v>
      </c>
      <c r="E79" s="17" t="s">
        <v>241</v>
      </c>
    </row>
    <row r="81" spans="1:5" ht="21.75" customHeight="1" x14ac:dyDescent="0.25">
      <c r="A81" s="6" t="s">
        <v>242</v>
      </c>
      <c r="B81" s="6"/>
      <c r="C81" s="6"/>
      <c r="D81" s="6"/>
      <c r="E81" s="6"/>
    </row>
    <row r="82" spans="1:5" ht="18" customHeight="1" x14ac:dyDescent="0.25">
      <c r="A82" s="13" t="s">
        <v>243</v>
      </c>
      <c r="B82" s="14" t="s">
        <v>68</v>
      </c>
      <c r="C82" s="15" t="s">
        <v>244</v>
      </c>
      <c r="D82" s="16" t="s">
        <v>68</v>
      </c>
      <c r="E82" s="17" t="s">
        <v>245</v>
      </c>
    </row>
    <row r="83" spans="1:5" ht="18" customHeight="1" x14ac:dyDescent="0.25">
      <c r="A83" s="18" t="s">
        <v>246</v>
      </c>
      <c r="B83" s="14" t="s">
        <v>68</v>
      </c>
      <c r="C83" s="15" t="s">
        <v>247</v>
      </c>
      <c r="D83" s="16" t="s">
        <v>68</v>
      </c>
      <c r="E83" s="20" t="s">
        <v>248</v>
      </c>
    </row>
    <row r="84" spans="1:5" ht="18" customHeight="1" x14ac:dyDescent="0.25">
      <c r="A84" s="13" t="s">
        <v>249</v>
      </c>
      <c r="B84" s="14" t="s">
        <v>68</v>
      </c>
      <c r="C84" s="15" t="s">
        <v>250</v>
      </c>
      <c r="D84" s="16" t="s">
        <v>68</v>
      </c>
      <c r="E84" s="17" t="s">
        <v>251</v>
      </c>
    </row>
    <row r="85" spans="1:5" ht="18" customHeight="1" x14ac:dyDescent="0.25">
      <c r="A85" s="18" t="s">
        <v>252</v>
      </c>
      <c r="B85" s="14" t="s">
        <v>68</v>
      </c>
      <c r="C85" s="15" t="s">
        <v>248</v>
      </c>
      <c r="D85" s="16" t="s">
        <v>68</v>
      </c>
      <c r="E85" s="20" t="s">
        <v>253</v>
      </c>
    </row>
    <row r="88" spans="1:5" ht="25.5" customHeight="1" x14ac:dyDescent="0.25">
      <c r="A88" s="5" t="s">
        <v>254</v>
      </c>
      <c r="B88" s="5"/>
      <c r="C88" s="5"/>
      <c r="D88" s="5"/>
      <c r="E88" s="5"/>
    </row>
    <row r="89" spans="1:5" ht="19.5" customHeight="1" x14ac:dyDescent="0.25">
      <c r="A89" s="26" t="s">
        <v>255</v>
      </c>
      <c r="B89" s="26" t="s">
        <v>256</v>
      </c>
      <c r="C89" s="26" t="s">
        <v>257</v>
      </c>
      <c r="D89" s="26" t="s">
        <v>258</v>
      </c>
      <c r="E89" s="26" t="s">
        <v>259</v>
      </c>
    </row>
    <row r="90" spans="1:5" ht="18" customHeight="1" x14ac:dyDescent="0.25">
      <c r="A90" s="13" t="s">
        <v>260</v>
      </c>
      <c r="B90" s="14" t="s">
        <v>261</v>
      </c>
      <c r="C90" s="15" t="s">
        <v>262</v>
      </c>
      <c r="D90" s="16" t="s">
        <v>263</v>
      </c>
      <c r="E90" s="17" t="s">
        <v>264</v>
      </c>
    </row>
    <row r="91" spans="1:5" ht="18" customHeight="1" x14ac:dyDescent="0.25">
      <c r="A91" s="18" t="s">
        <v>265</v>
      </c>
      <c r="B91" s="14" t="s">
        <v>266</v>
      </c>
      <c r="C91" s="15" t="s">
        <v>266</v>
      </c>
      <c r="D91" s="16" t="s">
        <v>267</v>
      </c>
      <c r="E91" s="20" t="s">
        <v>268</v>
      </c>
    </row>
    <row r="92" spans="1:5" ht="18" customHeight="1" x14ac:dyDescent="0.25">
      <c r="A92" s="13" t="s">
        <v>269</v>
      </c>
      <c r="B92" s="14" t="s">
        <v>261</v>
      </c>
      <c r="C92" s="15" t="s">
        <v>270</v>
      </c>
      <c r="D92" s="16" t="s">
        <v>271</v>
      </c>
      <c r="E92" s="17" t="s">
        <v>272</v>
      </c>
    </row>
    <row r="93" spans="1:5" ht="18" customHeight="1" x14ac:dyDescent="0.25">
      <c r="A93" s="18" t="s">
        <v>273</v>
      </c>
      <c r="B93" s="14" t="s">
        <v>274</v>
      </c>
      <c r="C93" s="15" t="s">
        <v>274</v>
      </c>
      <c r="D93" s="16" t="s">
        <v>274</v>
      </c>
      <c r="E93" s="20" t="s">
        <v>275</v>
      </c>
    </row>
    <row r="94" spans="1:5" ht="18" customHeight="1" x14ac:dyDescent="0.25">
      <c r="A94" s="13" t="s">
        <v>276</v>
      </c>
      <c r="B94" s="14" t="s">
        <v>277</v>
      </c>
      <c r="C94" s="15" t="s">
        <v>277</v>
      </c>
      <c r="D94" s="16" t="s">
        <v>277</v>
      </c>
      <c r="E94" s="17" t="s">
        <v>278</v>
      </c>
    </row>
    <row r="95" spans="1:5" ht="21.75" customHeight="1" x14ac:dyDescent="0.25">
      <c r="A95" s="27" t="s">
        <v>279</v>
      </c>
      <c r="B95" s="27" t="s">
        <v>280</v>
      </c>
      <c r="C95" s="27" t="s">
        <v>281</v>
      </c>
      <c r="D95" s="27" t="s">
        <v>282</v>
      </c>
      <c r="E95" s="27" t="s">
        <v>283</v>
      </c>
    </row>
    <row r="97" spans="1:5" ht="21.75" customHeight="1" x14ac:dyDescent="0.25">
      <c r="A97" s="4" t="s">
        <v>284</v>
      </c>
      <c r="B97" s="4"/>
      <c r="C97" s="4"/>
      <c r="D97" s="4"/>
      <c r="E97" s="4"/>
    </row>
    <row r="98" spans="1:5" ht="21.75" customHeight="1" x14ac:dyDescent="0.25">
      <c r="A98" s="3" t="s">
        <v>285</v>
      </c>
      <c r="B98" s="3"/>
      <c r="C98" s="3"/>
      <c r="D98" s="3"/>
      <c r="E98" s="3"/>
    </row>
    <row r="99" spans="1:5" ht="21.75" customHeight="1" x14ac:dyDescent="0.25">
      <c r="A99" s="3" t="s">
        <v>286</v>
      </c>
      <c r="B99" s="3"/>
      <c r="C99" s="3"/>
      <c r="D99" s="3"/>
      <c r="E99" s="3"/>
    </row>
  </sheetData>
  <mergeCells count="11">
    <mergeCell ref="A99:E99"/>
    <mergeCell ref="A64:E64"/>
    <mergeCell ref="A81:E81"/>
    <mergeCell ref="A88:E88"/>
    <mergeCell ref="A97:E97"/>
    <mergeCell ref="A98:E98"/>
    <mergeCell ref="A1:E1"/>
    <mergeCell ref="A2:E2"/>
    <mergeCell ref="A5:E5"/>
    <mergeCell ref="A26:E26"/>
    <mergeCell ref="A49:E4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/>
  </sheetViews>
  <sheetFormatPr baseColWidth="10" defaultColWidth="8.7109375" defaultRowHeight="15" x14ac:dyDescent="0.25"/>
  <cols>
    <col min="1" max="1" width="28" customWidth="1"/>
    <col min="2" max="5" width="18" customWidth="1"/>
    <col min="6" max="6" width="22" customWidth="1"/>
  </cols>
  <sheetData>
    <row r="1" spans="1:6" ht="31.5" customHeight="1" x14ac:dyDescent="0.25">
      <c r="A1" s="2" t="s">
        <v>287</v>
      </c>
      <c r="B1" s="2"/>
      <c r="C1" s="2"/>
      <c r="D1" s="2"/>
      <c r="E1" s="2"/>
      <c r="F1" s="2"/>
    </row>
    <row r="2" spans="1:6" ht="18" customHeight="1" x14ac:dyDescent="0.25">
      <c r="A2" s="7" t="s">
        <v>288</v>
      </c>
      <c r="B2" s="7"/>
      <c r="C2" s="7"/>
      <c r="D2" s="7"/>
      <c r="E2" s="7"/>
      <c r="F2" s="7"/>
    </row>
    <row r="4" spans="1:6" ht="21.75" customHeight="1" x14ac:dyDescent="0.25">
      <c r="A4" s="26" t="s">
        <v>289</v>
      </c>
      <c r="B4" s="26" t="s">
        <v>290</v>
      </c>
      <c r="C4" s="26" t="s">
        <v>291</v>
      </c>
      <c r="D4" s="26" t="s">
        <v>292</v>
      </c>
      <c r="E4" s="26" t="s">
        <v>293</v>
      </c>
      <c r="F4" s="26" t="s">
        <v>294</v>
      </c>
    </row>
    <row r="5" spans="1:6" ht="18" customHeight="1" x14ac:dyDescent="0.25">
      <c r="A5" s="28" t="s">
        <v>295</v>
      </c>
      <c r="B5" s="29">
        <v>10</v>
      </c>
      <c r="C5" s="30">
        <v>50</v>
      </c>
      <c r="D5" s="31">
        <f>C5*B5</f>
        <v>500</v>
      </c>
      <c r="E5" s="32">
        <f>D5*0.015+B5*0.5</f>
        <v>12.5</v>
      </c>
      <c r="F5" s="33">
        <f>D5*0.15</f>
        <v>75</v>
      </c>
    </row>
    <row r="6" spans="1:6" ht="18" customHeight="1" x14ac:dyDescent="0.25">
      <c r="A6" s="34" t="s">
        <v>296</v>
      </c>
      <c r="B6" s="35">
        <v>50</v>
      </c>
      <c r="C6" s="36">
        <v>60</v>
      </c>
      <c r="D6" s="31">
        <f>C6*B6</f>
        <v>3000</v>
      </c>
      <c r="E6" s="32">
        <f>D6*0.015+B6*0.5</f>
        <v>70</v>
      </c>
      <c r="F6" s="33">
        <f>D6*0.15</f>
        <v>450</v>
      </c>
    </row>
    <row r="7" spans="1:6" ht="18" customHeight="1" x14ac:dyDescent="0.25">
      <c r="A7" s="28" t="s">
        <v>297</v>
      </c>
      <c r="B7" s="29">
        <v>150</v>
      </c>
      <c r="C7" s="30">
        <v>65</v>
      </c>
      <c r="D7" s="31">
        <f>C7*B7</f>
        <v>9750</v>
      </c>
      <c r="E7" s="32">
        <f>D7*0.015+B7*0.5</f>
        <v>221.25</v>
      </c>
      <c r="F7" s="33">
        <f>D7*0.15</f>
        <v>1462.5</v>
      </c>
    </row>
    <row r="8" spans="1:6" ht="18" customHeight="1" x14ac:dyDescent="0.25">
      <c r="A8" s="34" t="s">
        <v>298</v>
      </c>
      <c r="B8" s="35">
        <v>400</v>
      </c>
      <c r="C8" s="36">
        <v>70</v>
      </c>
      <c r="D8" s="31">
        <f>C8*B8</f>
        <v>28000</v>
      </c>
      <c r="E8" s="32">
        <f>D8*0.015+B8*0.5</f>
        <v>620</v>
      </c>
      <c r="F8" s="33">
        <f>D8*0.15</f>
        <v>4200</v>
      </c>
    </row>
    <row r="9" spans="1:6" ht="18" customHeight="1" x14ac:dyDescent="0.25">
      <c r="A9" s="28" t="s">
        <v>299</v>
      </c>
      <c r="B9" s="29">
        <v>1000</v>
      </c>
      <c r="C9" s="30">
        <v>75</v>
      </c>
      <c r="D9" s="31">
        <f>C9*B9</f>
        <v>75000</v>
      </c>
      <c r="E9" s="32">
        <f>D9*0.015+B9*0.5</f>
        <v>1625</v>
      </c>
      <c r="F9" s="33">
        <f>D9*0.15</f>
        <v>11250</v>
      </c>
    </row>
    <row r="11" spans="1:6" ht="19.5" customHeight="1" x14ac:dyDescent="0.25">
      <c r="A11" s="1" t="s">
        <v>300</v>
      </c>
      <c r="B11" s="1"/>
      <c r="C11" s="1"/>
      <c r="D11" s="1"/>
      <c r="E11" s="1"/>
      <c r="F11" s="1"/>
    </row>
  </sheetData>
  <mergeCells count="3">
    <mergeCell ref="A1:F1"/>
    <mergeCell ref="A2:F2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Comparatif Plans</vt:lpstr>
      <vt:lpstr>Simulation Stripe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Diard</cp:lastModifiedBy>
  <cp:revision>0</cp:revision>
  <dcterms:created xsi:type="dcterms:W3CDTF">2026-03-03T03:16:20Z</dcterms:created>
  <dcterms:modified xsi:type="dcterms:W3CDTF">2026-03-03T15:23:58Z</dcterms:modified>
  <dc:language>en-US</dc:language>
</cp:coreProperties>
</file>