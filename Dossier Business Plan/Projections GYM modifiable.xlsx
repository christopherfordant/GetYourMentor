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ypothèses Clés" sheetId="1" r:id="rId4"/>
    <sheet state="visible" name="Charges Opérationnelles" sheetId="2" r:id="rId5"/>
    <sheet state="visible" name="Scénario Pessimiste" sheetId="3" r:id="rId6"/>
    <sheet state="visible" name="Scénario Réaliste" sheetId="4" r:id="rId7"/>
    <sheet state="visible" name="Scénario Optimiste" sheetId="5" r:id="rId8"/>
  </sheets>
  <definedNames/>
  <calcPr/>
  <extLst>
    <ext uri="GoogleSheetsCustomDataVersion2">
      <go:sheetsCustomData xmlns:go="http://customooxmlschemas.google.com/" r:id="rId9" roundtripDataChecksum="vKGNLNDNOIaWQCGNc2J1X7VVsrJGuIINBEZuWKd9pfo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1">
      <text>
        <t xml:space="preserve">======
ID#AAABxB6Oe0M
Steven FORDANT    (2025-12-04 22:51:33)
à 8, ils prendront un abonnement</t>
      </text>
    </comment>
  </commentList>
  <extLst>
    <ext uri="GoogleSheetsCustomDataVersion2">
      <go:sheetsCustomData xmlns:go="http://customooxmlschemas.google.com/" r:id="rId1" roundtripDataSignature="AMtx7miH5dzB++i7WEJ0zXYOelo+MyNir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9">
      <text>
        <t xml:space="preserve">======
ID#AAABxCCpaAg
Steven FORDANT    (2025-12-04 23:09:28)
Offert par Stephane Avenet</t>
      </text>
    </comment>
    <comment authorId="0" ref="B3">
      <text>
        <t xml:space="preserve">======
ID#AAABxB6Oe0U
Steven FORDANT    (2025-12-04 23:08:07)
DEV Associé</t>
      </text>
    </comment>
  </commentList>
  <extLst>
    <ext uri="GoogleSheetsCustomDataVersion2">
      <go:sheetsCustomData xmlns:go="http://customooxmlschemas.google.com/" r:id="rId1" roundtripDataSignature="AMtx7mhMT89eOLxlB6IXsu3XUFZq4u2flw=="/>
    </ext>
  </extLst>
</comments>
</file>

<file path=xl/sharedStrings.xml><?xml version="1.0" encoding="utf-8"?>
<sst xmlns="http://schemas.openxmlformats.org/spreadsheetml/2006/main" count="175" uniqueCount="85">
  <si>
    <t>HYPOTHESES CLES</t>
  </si>
  <si>
    <t>Année 1</t>
  </si>
  <si>
    <t>Année 2</t>
  </si>
  <si>
    <t>Année 3</t>
  </si>
  <si>
    <t>Année 4</t>
  </si>
  <si>
    <t>Année 5</t>
  </si>
  <si>
    <t>Paramètre</t>
  </si>
  <si>
    <t>Pessimiste</t>
  </si>
  <si>
    <t>Réaliste</t>
  </si>
  <si>
    <t>Optimiste</t>
  </si>
  <si>
    <t xml:space="preserve">Réaliste </t>
  </si>
  <si>
    <t>Coachs Année 1</t>
  </si>
  <si>
    <t>Coachs Premium année 1 (ne pas modifier)</t>
  </si>
  <si>
    <t>Coach Non premium Année 1 (ne pas modifier)</t>
  </si>
  <si>
    <t>Clubs Année 1</t>
  </si>
  <si>
    <t>Croissance coachs (%)</t>
  </si>
  <si>
    <t>Croissance clubs (%)</t>
  </si>
  <si>
    <t>Ratio premium (%)</t>
  </si>
  <si>
    <t>Prix séance (€)</t>
  </si>
  <si>
    <t>Prix abonnement Premium Coach (€)</t>
  </si>
  <si>
    <t>Prix abonnement Club</t>
  </si>
  <si>
    <t>Prix moyen contenu</t>
  </si>
  <si>
    <t>Prix moyen abonnement contenu coach</t>
  </si>
  <si>
    <t>Commission séances (%)</t>
  </si>
  <si>
    <t>Commission ventes contenu (%)</t>
  </si>
  <si>
    <t>Comission Abonnement coach</t>
  </si>
  <si>
    <t>Nombre de réservation/coach/mois</t>
  </si>
  <si>
    <t>Nombre ventes Contenu/coach/mois</t>
  </si>
  <si>
    <t>Nombre d'abonné par coach</t>
  </si>
  <si>
    <t>CHARGES OPERATIONNELLES</t>
  </si>
  <si>
    <t>Poste</t>
  </si>
  <si>
    <t>Développement plateforme</t>
  </si>
  <si>
    <t>Maintenance technique</t>
  </si>
  <si>
    <t>Infrastructure</t>
  </si>
  <si>
    <t>Marketing / Communication</t>
  </si>
  <si>
    <t>Événements Partenariats</t>
  </si>
  <si>
    <t>Juridique RGPD</t>
  </si>
  <si>
    <t>Comptabilité</t>
  </si>
  <si>
    <t>Assurance</t>
  </si>
  <si>
    <t>API Services</t>
  </si>
  <si>
    <t>Outils SaaS</t>
  </si>
  <si>
    <t>Serveurs Backup</t>
  </si>
  <si>
    <t>Ressources (stagiaire)</t>
  </si>
  <si>
    <t>Contingences (5%)</t>
  </si>
  <si>
    <t>Taux de croissance des charges 25% (hors dev, compta, juriste,stagiaire)</t>
  </si>
  <si>
    <t>TOTAL CHARGES</t>
  </si>
  <si>
    <t>Maintenance technique = débeugage, entretiens, MAJ</t>
  </si>
  <si>
    <t xml:space="preserve">Infrastructure = hébergement, serveur, base de données </t>
  </si>
  <si>
    <t>API service = google API + stockage vidéo, photos, pdf, Carte d'identité etc.. COÛT = 0.02 ct / giga - ref =10GO / coach + rappel notif</t>
  </si>
  <si>
    <t>Serveur backup = copie de secours des données et de la plateforme</t>
  </si>
  <si>
    <t>Contingence = Réserve en cas de problème</t>
  </si>
  <si>
    <t>SCENARIO PESSIMISTE - Croissance: Coachs +10%, Clubs +10%</t>
  </si>
  <si>
    <t>REVENUS</t>
  </si>
  <si>
    <t>Commission séances / an</t>
  </si>
  <si>
    <t>Abonnement coachs premium / an</t>
  </si>
  <si>
    <t>Abonnement clubs premium / an</t>
  </si>
  <si>
    <t>Ventes contenu / an</t>
  </si>
  <si>
    <t>Abonnement contenu / an</t>
  </si>
  <si>
    <t>TOTAL REVENUS par mois TTC</t>
  </si>
  <si>
    <t>TOTAL REVENUS par année TTC (TVA 20%)</t>
  </si>
  <si>
    <t>CHARGES</t>
  </si>
  <si>
    <t>Charges opérationnelles</t>
  </si>
  <si>
    <t>Charges Stripe (2€/user)</t>
  </si>
  <si>
    <t>EBITDA</t>
  </si>
  <si>
    <t>Marge EBITDA (%)</t>
  </si>
  <si>
    <t>Amortissements</t>
  </si>
  <si>
    <t>EBIT</t>
  </si>
  <si>
    <t xml:space="preserve">Remboursement crédit bancaire </t>
  </si>
  <si>
    <t>Résultat avant impôt</t>
  </si>
  <si>
    <t>Impôt (25%)</t>
  </si>
  <si>
    <t>RESULTAT NET</t>
  </si>
  <si>
    <t>Marge nette (%)</t>
  </si>
  <si>
    <t xml:space="preserve">Montant emprunté </t>
  </si>
  <si>
    <t xml:space="preserve">Taux d'emprunt </t>
  </si>
  <si>
    <t>Nombre d'année de remboursement</t>
  </si>
  <si>
    <t>Année</t>
  </si>
  <si>
    <t>Capital remboursé (€)</t>
  </si>
  <si>
    <t>Intérêts (%)</t>
  </si>
  <si>
    <t>Intérêts (€)</t>
  </si>
  <si>
    <t>Annuité</t>
  </si>
  <si>
    <t>Solde restant</t>
  </si>
  <si>
    <t>SCENARIO REALISTE - Croissance: Coachs +25%, Clubs +30%</t>
  </si>
  <si>
    <t>TOTAL REVENUS par mois</t>
  </si>
  <si>
    <t>SCENARIO OPTIMISTE - Croissance: Coachs +40%, Clubs +50%</t>
  </si>
  <si>
    <t>Intérêts financiers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</si>
</sst>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0\ [$€-1]"/>
    <numFmt numFmtId="165" formatCode="_(* #,##0.00_)\ [$€-1]_);\(#,##0.00\)\ [$€-1]_);_(* &quot;-&quot;??_)\ [$€-1]_);_(@"/>
    <numFmt numFmtId="166" formatCode="0.0%"/>
  </numFmts>
  <fonts count="19">
    <font>
      <sz val="11.0"/>
      <color theme="1"/>
      <name val="Calibri"/>
      <scheme val="minor"/>
    </font>
    <font>
      <b/>
      <sz val="11.0"/>
      <color theme="1"/>
      <name val="Calibri"/>
      <scheme val="minor"/>
    </font>
    <font>
      <b/>
      <sz val="13.0"/>
      <color theme="1"/>
      <name val="Calibri"/>
      <scheme val="minor"/>
    </font>
    <font/>
    <font>
      <b/>
      <color theme="1"/>
      <name val="Calibri"/>
      <scheme val="minor"/>
    </font>
    <font>
      <b/>
      <sz val="12.0"/>
      <color rgb="FFFFFFFF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  <font>
      <b/>
      <sz val="11.0"/>
      <color theme="1"/>
      <name val="Calibri"/>
    </font>
    <font>
      <b/>
      <sz val="11.0"/>
      <color rgb="FFFFFFFF"/>
      <name val="Calibri"/>
    </font>
    <font>
      <b/>
      <sz val="11.0"/>
      <color rgb="FF0B5394"/>
      <name val="Calibri"/>
    </font>
    <font>
      <b/>
      <sz val="11.0"/>
      <color rgb="FF000000"/>
      <name val="Calibri"/>
    </font>
    <font>
      <b/>
      <color rgb="FF0B5394"/>
      <name val="Calibri"/>
      <scheme val="minor"/>
    </font>
    <font>
      <sz val="11.0"/>
      <color theme="1"/>
      <name val="Calibri"/>
    </font>
    <font>
      <sz val="11.0"/>
      <color rgb="FF000000"/>
      <name val="Calibri"/>
    </font>
    <font>
      <sz val="16.0"/>
      <color theme="1"/>
      <name val="Calibri"/>
      <scheme val="minor"/>
    </font>
    <font>
      <b/>
      <sz val="12.0"/>
      <color theme="1"/>
      <name val="Calibri"/>
    </font>
    <font>
      <b/>
      <sz val="13.0"/>
      <color rgb="FF000000"/>
      <name val="Cambria"/>
    </font>
    <font>
      <b/>
      <sz val="13.0"/>
      <color rgb="FF000000"/>
      <name val="Calibri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6FA8DC"/>
        <bgColor rgb="FF6FA8DC"/>
      </patternFill>
    </fill>
    <fill>
      <patternFill patternType="solid">
        <fgColor rgb="FFFFFF00"/>
        <bgColor rgb="FFFFFF00"/>
      </patternFill>
    </fill>
    <fill>
      <patternFill patternType="solid">
        <fgColor rgb="FFCC4125"/>
        <bgColor rgb="FFCC4125"/>
      </patternFill>
    </fill>
    <fill>
      <patternFill patternType="solid">
        <fgColor rgb="FFFFE599"/>
        <bgColor rgb="FFFFE599"/>
      </patternFill>
    </fill>
    <fill>
      <patternFill patternType="solid">
        <fgColor rgb="FF93C47D"/>
        <bgColor rgb="FF93C47D"/>
      </patternFill>
    </fill>
    <fill>
      <patternFill patternType="solid">
        <fgColor rgb="FFD9E1F2"/>
        <bgColor rgb="FFD9E1F2"/>
      </patternFill>
    </fill>
    <fill>
      <patternFill patternType="solid">
        <fgColor rgb="FF4472C4"/>
        <bgColor rgb="FF4472C4"/>
      </patternFill>
    </fill>
    <fill>
      <patternFill patternType="solid">
        <fgColor rgb="FFFFC7CE"/>
        <bgColor rgb="FFFFC7CE"/>
      </patternFill>
    </fill>
    <fill>
      <patternFill patternType="solid">
        <fgColor theme="9"/>
        <bgColor theme="9"/>
      </patternFill>
    </fill>
    <fill>
      <patternFill patternType="solid">
        <fgColor rgb="FFD5A6BD"/>
        <bgColor rgb="FFD5A6BD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2" fontId="1" numFmtId="0" xfId="0" applyFont="1"/>
    <xf borderId="2" fillId="0" fontId="2" numFmtId="0" xfId="0" applyAlignment="1" applyBorder="1" applyFont="1">
      <alignment horizontal="center" readingOrder="0"/>
    </xf>
    <xf borderId="3" fillId="0" fontId="3" numFmtId="0" xfId="0" applyBorder="1" applyFont="1"/>
    <xf borderId="4" fillId="0" fontId="3" numFmtId="0" xfId="0" applyBorder="1" applyFont="1"/>
    <xf borderId="2" fillId="0" fontId="4" numFmtId="0" xfId="0" applyAlignment="1" applyBorder="1" applyFont="1">
      <alignment horizontal="center" readingOrder="0"/>
    </xf>
    <xf borderId="1" fillId="3" fontId="5" numFmtId="0" xfId="0" applyBorder="1" applyFill="1" applyFont="1"/>
    <xf borderId="1" fillId="3" fontId="6" numFmtId="0" xfId="0" applyAlignment="1" applyBorder="1" applyFont="1">
      <alignment horizontal="center" readingOrder="0"/>
    </xf>
    <xf borderId="0" fillId="0" fontId="7" numFmtId="0" xfId="0" applyAlignment="1" applyFont="1">
      <alignment horizontal="center" readingOrder="0"/>
    </xf>
    <xf borderId="1" fillId="4" fontId="8" numFmtId="0" xfId="0" applyBorder="1" applyFill="1" applyFont="1"/>
    <xf borderId="1" fillId="5" fontId="9" numFmtId="3" xfId="0" applyAlignment="1" applyBorder="1" applyFill="1" applyFont="1" applyNumberFormat="1">
      <alignment horizontal="center" readingOrder="0"/>
    </xf>
    <xf borderId="1" fillId="6" fontId="10" numFmtId="3" xfId="0" applyAlignment="1" applyBorder="1" applyFill="1" applyFont="1" applyNumberFormat="1">
      <alignment horizontal="center"/>
    </xf>
    <xf borderId="1" fillId="7" fontId="11" numFmtId="3" xfId="0" applyAlignment="1" applyBorder="1" applyFill="1" applyFont="1" applyNumberFormat="1">
      <alignment horizontal="center"/>
    </xf>
    <xf borderId="1" fillId="5" fontId="6" numFmtId="3" xfId="0" applyAlignment="1" applyBorder="1" applyFont="1" applyNumberFormat="1">
      <alignment horizontal="center"/>
    </xf>
    <xf borderId="1" fillId="6" fontId="12" numFmtId="3" xfId="0" applyAlignment="1" applyBorder="1" applyFont="1" applyNumberFormat="1">
      <alignment horizontal="center"/>
    </xf>
    <xf borderId="1" fillId="7" fontId="4" numFmtId="3" xfId="0" applyAlignment="1" applyBorder="1" applyFont="1" applyNumberFormat="1">
      <alignment horizontal="center"/>
    </xf>
    <xf borderId="1" fillId="0" fontId="13" numFmtId="0" xfId="0" applyAlignment="1" applyBorder="1" applyFont="1">
      <alignment readingOrder="0"/>
    </xf>
    <xf borderId="1" fillId="6" fontId="10" numFmtId="3" xfId="0" applyAlignment="1" applyBorder="1" applyFont="1" applyNumberFormat="1">
      <alignment horizontal="center" readingOrder="0"/>
    </xf>
    <xf borderId="1" fillId="7" fontId="11" numFmtId="3" xfId="0" applyAlignment="1" applyBorder="1" applyFont="1" applyNumberFormat="1">
      <alignment horizontal="center" readingOrder="0"/>
    </xf>
    <xf borderId="1" fillId="5" fontId="6" numFmtId="0" xfId="0" applyAlignment="1" applyBorder="1" applyFont="1">
      <alignment horizontal="center" readingOrder="0"/>
    </xf>
    <xf borderId="1" fillId="6" fontId="12" numFmtId="0" xfId="0" applyAlignment="1" applyBorder="1" applyFont="1">
      <alignment horizontal="center" readingOrder="0"/>
    </xf>
    <xf borderId="1" fillId="7" fontId="4" numFmtId="0" xfId="0" applyAlignment="1" applyBorder="1" applyFont="1">
      <alignment horizontal="center" readingOrder="0"/>
    </xf>
    <xf borderId="1" fillId="5" fontId="6" numFmtId="1" xfId="0" applyAlignment="1" applyBorder="1" applyFont="1" applyNumberFormat="1">
      <alignment horizontal="center" readingOrder="0"/>
    </xf>
    <xf borderId="1" fillId="6" fontId="12" numFmtId="1" xfId="0" applyAlignment="1" applyBorder="1" applyFont="1" applyNumberFormat="1">
      <alignment horizontal="center" readingOrder="0"/>
    </xf>
    <xf borderId="1" fillId="7" fontId="4" numFmtId="1" xfId="0" applyAlignment="1" applyBorder="1" applyFont="1" applyNumberFormat="1">
      <alignment horizontal="center" readingOrder="0"/>
    </xf>
    <xf borderId="1" fillId="7" fontId="4" numFmtId="1" xfId="0" applyAlignment="1" applyBorder="1" applyFont="1" applyNumberFormat="1">
      <alignment horizontal="center"/>
    </xf>
    <xf borderId="1" fillId="5" fontId="9" numFmtId="3" xfId="0" applyAlignment="1" applyBorder="1" applyFont="1" applyNumberFormat="1">
      <alignment horizontal="center"/>
    </xf>
    <xf borderId="1" fillId="4" fontId="14" numFmtId="0" xfId="0" applyBorder="1" applyFont="1"/>
    <xf borderId="1" fillId="5" fontId="9" numFmtId="9" xfId="0" applyAlignment="1" applyBorder="1" applyFont="1" applyNumberFormat="1">
      <alignment horizontal="center"/>
    </xf>
    <xf borderId="1" fillId="6" fontId="10" numFmtId="9" xfId="0" applyAlignment="1" applyBorder="1" applyFont="1" applyNumberFormat="1">
      <alignment horizontal="center" readingOrder="0"/>
    </xf>
    <xf borderId="1" fillId="7" fontId="11" numFmtId="9" xfId="0" applyAlignment="1" applyBorder="1" applyFont="1" applyNumberFormat="1">
      <alignment horizontal="center"/>
    </xf>
    <xf borderId="1" fillId="6" fontId="10" numFmtId="9" xfId="0" applyAlignment="1" applyBorder="1" applyFont="1" applyNumberFormat="1">
      <alignment horizontal="center"/>
    </xf>
    <xf borderId="1" fillId="5" fontId="9" numFmtId="9" xfId="0" applyAlignment="1" applyBorder="1" applyFont="1" applyNumberFormat="1">
      <alignment horizontal="center" readingOrder="0"/>
    </xf>
    <xf borderId="1" fillId="7" fontId="11" numFmtId="9" xfId="0" applyAlignment="1" applyBorder="1" applyFont="1" applyNumberFormat="1">
      <alignment horizontal="center" readingOrder="0"/>
    </xf>
    <xf borderId="1" fillId="4" fontId="13" numFmtId="0" xfId="0" applyBorder="1" applyFont="1"/>
    <xf borderId="1" fillId="5" fontId="9" numFmtId="164" xfId="0" applyAlignment="1" applyBorder="1" applyFont="1" applyNumberFormat="1">
      <alignment horizontal="center"/>
    </xf>
    <xf borderId="1" fillId="6" fontId="10" numFmtId="164" xfId="0" applyAlignment="1" applyBorder="1" applyFont="1" applyNumberFormat="1">
      <alignment horizontal="center"/>
    </xf>
    <xf borderId="1" fillId="7" fontId="11" numFmtId="164" xfId="0" applyAlignment="1" applyBorder="1" applyFont="1" applyNumberFormat="1">
      <alignment horizontal="center"/>
    </xf>
    <xf borderId="1" fillId="7" fontId="8" numFmtId="164" xfId="0" applyAlignment="1" applyBorder="1" applyFont="1" applyNumberFormat="1">
      <alignment horizontal="center"/>
    </xf>
    <xf borderId="1" fillId="4" fontId="13" numFmtId="0" xfId="0" applyAlignment="1" applyBorder="1" applyFont="1">
      <alignment readingOrder="0"/>
    </xf>
    <xf borderId="1" fillId="5" fontId="9" numFmtId="164" xfId="0" applyAlignment="1" applyBorder="1" applyFont="1" applyNumberFormat="1">
      <alignment horizontal="center" readingOrder="0"/>
    </xf>
    <xf borderId="1" fillId="6" fontId="10" numFmtId="164" xfId="0" applyAlignment="1" applyBorder="1" applyFont="1" applyNumberFormat="1">
      <alignment horizontal="center" readingOrder="0"/>
    </xf>
    <xf borderId="1" fillId="7" fontId="11" numFmtId="164" xfId="0" applyAlignment="1" applyBorder="1" applyFont="1" applyNumberFormat="1">
      <alignment horizontal="center" readingOrder="0"/>
    </xf>
    <xf borderId="1" fillId="7" fontId="8" numFmtId="164" xfId="0" applyAlignment="1" applyBorder="1" applyFont="1" applyNumberFormat="1">
      <alignment horizontal="center" readingOrder="0"/>
    </xf>
    <xf borderId="1" fillId="7" fontId="8" numFmtId="9" xfId="0" applyAlignment="1" applyBorder="1" applyFont="1" applyNumberFormat="1">
      <alignment horizontal="center"/>
    </xf>
    <xf borderId="0" fillId="0" fontId="7" numFmtId="1" xfId="0" applyFont="1" applyNumberFormat="1"/>
    <xf borderId="1" fillId="7" fontId="8" numFmtId="9" xfId="0" applyAlignment="1" applyBorder="1" applyFont="1" applyNumberFormat="1">
      <alignment horizontal="center" readingOrder="0"/>
    </xf>
    <xf borderId="0" fillId="0" fontId="6" numFmtId="0" xfId="0" applyFont="1"/>
    <xf borderId="1" fillId="7" fontId="8" numFmtId="3" xfId="0" applyAlignment="1" applyBorder="1" applyFont="1" applyNumberFormat="1">
      <alignment horizontal="center" readingOrder="0"/>
    </xf>
    <xf borderId="1" fillId="7" fontId="8" numFmtId="3" xfId="0" applyAlignment="1" applyBorder="1" applyFont="1" applyNumberFormat="1">
      <alignment horizontal="center"/>
    </xf>
    <xf borderId="0" fillId="0" fontId="15" numFmtId="0" xfId="0" applyFont="1"/>
    <xf borderId="0" fillId="2" fontId="7" numFmtId="0" xfId="0" applyFont="1"/>
    <xf borderId="1" fillId="8" fontId="1" numFmtId="0" xfId="0" applyBorder="1" applyFill="1" applyFont="1"/>
    <xf borderId="1" fillId="8" fontId="1" numFmtId="3" xfId="0" applyBorder="1" applyFont="1" applyNumberFormat="1"/>
    <xf borderId="1" fillId="9" fontId="5" numFmtId="0" xfId="0" applyBorder="1" applyFill="1" applyFont="1"/>
    <xf borderId="1" fillId="9" fontId="5" numFmtId="3" xfId="0" applyBorder="1" applyFont="1" applyNumberFormat="1"/>
    <xf borderId="1" fillId="0" fontId="13" numFmtId="0" xfId="0" applyBorder="1" applyFont="1"/>
    <xf borderId="1" fillId="0" fontId="13" numFmtId="3" xfId="0" applyAlignment="1" applyBorder="1" applyFont="1" applyNumberFormat="1">
      <alignment readingOrder="0"/>
    </xf>
    <xf borderId="1" fillId="0" fontId="13" numFmtId="3" xfId="0" applyBorder="1" applyFont="1" applyNumberFormat="1"/>
    <xf borderId="1" fillId="10" fontId="4" numFmtId="0" xfId="0" applyAlignment="1" applyBorder="1" applyFill="1" applyFont="1">
      <alignment readingOrder="0"/>
    </xf>
    <xf borderId="1" fillId="10" fontId="4" numFmtId="9" xfId="0" applyAlignment="1" applyBorder="1" applyFont="1" applyNumberFormat="1">
      <alignment readingOrder="0"/>
    </xf>
    <xf borderId="1" fillId="10" fontId="4" numFmtId="0" xfId="0" applyBorder="1" applyFont="1"/>
    <xf borderId="1" fillId="10" fontId="4" numFmtId="3" xfId="0" applyBorder="1" applyFont="1" applyNumberFormat="1"/>
    <xf borderId="0" fillId="0" fontId="7" numFmtId="0" xfId="0" applyAlignment="1" applyFont="1">
      <alignment readingOrder="0"/>
    </xf>
    <xf borderId="1" fillId="0" fontId="13" numFmtId="165" xfId="0" applyBorder="1" applyFont="1" applyNumberFormat="1"/>
    <xf borderId="1" fillId="0" fontId="13" numFmtId="165" xfId="0" applyAlignment="1" applyBorder="1" applyFont="1" applyNumberFormat="1">
      <alignment readingOrder="0"/>
    </xf>
    <xf borderId="1" fillId="10" fontId="4" numFmtId="165" xfId="0" applyBorder="1" applyFont="1" applyNumberFormat="1"/>
    <xf borderId="1" fillId="10" fontId="4" numFmtId="4" xfId="0" applyBorder="1" applyFont="1" applyNumberFormat="1"/>
    <xf borderId="0" fillId="0" fontId="7" numFmtId="4" xfId="0" applyFont="1" applyNumberFormat="1"/>
    <xf borderId="1" fillId="0" fontId="13" numFmtId="4" xfId="0" applyBorder="1" applyFont="1" applyNumberFormat="1"/>
    <xf borderId="1" fillId="0" fontId="13" numFmtId="4" xfId="0" applyAlignment="1" applyBorder="1" applyFont="1" applyNumberFormat="1">
      <alignment readingOrder="0"/>
    </xf>
    <xf borderId="1" fillId="0" fontId="16" numFmtId="4" xfId="0" applyBorder="1" applyFont="1" applyNumberFormat="1"/>
    <xf borderId="0" fillId="2" fontId="13" numFmtId="0" xfId="0" applyFont="1"/>
    <xf borderId="0" fillId="2" fontId="13" numFmtId="3" xfId="0" applyFont="1" applyNumberFormat="1"/>
    <xf borderId="0" fillId="11" fontId="7" numFmtId="0" xfId="0" applyAlignment="1" applyFill="1" applyFont="1">
      <alignment readingOrder="0"/>
    </xf>
    <xf borderId="0" fillId="11" fontId="7" numFmtId="0" xfId="0" applyFont="1"/>
    <xf borderId="0" fillId="0" fontId="7" numFmtId="166" xfId="0" applyAlignment="1" applyFont="1" applyNumberFormat="1">
      <alignment readingOrder="0"/>
    </xf>
    <xf borderId="1" fillId="12" fontId="17" numFmtId="0" xfId="0" applyAlignment="1" applyBorder="1" applyFill="1" applyFont="1">
      <alignment horizontal="center" readingOrder="0" shrinkToFit="0" vertical="center" wrapText="1"/>
    </xf>
    <xf borderId="1" fillId="12" fontId="18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horizontal="center" vertical="center"/>
    </xf>
    <xf borderId="1" fillId="0" fontId="7" numFmtId="166" xfId="0" applyAlignment="1" applyBorder="1" applyFont="1" applyNumberFormat="1">
      <alignment horizontal="center" readingOrder="0" vertical="center"/>
    </xf>
    <xf borderId="1" fillId="0" fontId="7" numFmtId="0" xfId="0" applyAlignment="1" applyBorder="1" applyFont="1">
      <alignment horizontal="center" readingOrder="0"/>
    </xf>
    <xf borderId="0" fillId="0" fontId="13" numFmtId="3" xfId="0" applyFont="1" applyNumberFormat="1"/>
    <xf borderId="1" fillId="10" fontId="4" numFmtId="2" xfId="0" applyBorder="1" applyFont="1" applyNumberFormat="1"/>
    <xf borderId="1" fillId="0" fontId="16" numFmtId="0" xfId="0" applyBorder="1" applyFont="1"/>
    <xf borderId="1" fillId="0" fontId="16" numFmtId="165" xfId="0" applyBorder="1" applyFont="1" applyNumberForma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1.57"/>
    <col customWidth="1" min="2" max="4" width="15.0"/>
    <col customWidth="1" min="5" max="5" width="13.86"/>
    <col customWidth="1" min="6" max="6" width="19.29"/>
    <col customWidth="1" min="7" max="7" width="12.14"/>
    <col customWidth="1" min="8" max="8" width="13.0"/>
    <col customWidth="1" min="9" max="9" width="12.14"/>
    <col customWidth="1" min="10" max="11" width="13.29"/>
    <col customWidth="1" min="12" max="12" width="14.29"/>
    <col customWidth="1" min="13" max="13" width="14.14"/>
    <col customWidth="1" min="14" max="14" width="11.43"/>
    <col customWidth="1" min="15" max="15" width="12.14"/>
    <col customWidth="1" min="16" max="16" width="12.43"/>
    <col customWidth="1" min="17" max="17" width="11.71"/>
    <col customWidth="1" min="18" max="18" width="11.86"/>
    <col customWidth="1" min="19" max="27" width="8.71"/>
  </cols>
  <sheetData>
    <row r="1">
      <c r="A1" s="1" t="s">
        <v>0</v>
      </c>
      <c r="B1" s="2"/>
      <c r="C1" s="2"/>
      <c r="D1" s="2"/>
    </row>
    <row r="2">
      <c r="A2" s="2"/>
      <c r="B2" s="2"/>
      <c r="C2" s="2"/>
      <c r="D2" s="2"/>
    </row>
    <row r="3">
      <c r="A3" s="2"/>
      <c r="B3" s="2"/>
      <c r="C3" s="2"/>
      <c r="D3" s="2"/>
    </row>
    <row r="4">
      <c r="A4" s="3" t="s">
        <v>1</v>
      </c>
      <c r="B4" s="4"/>
      <c r="C4" s="4"/>
      <c r="D4" s="5"/>
      <c r="E4" s="6" t="s">
        <v>2</v>
      </c>
      <c r="F4" s="4"/>
      <c r="G4" s="5"/>
      <c r="H4" s="6" t="s">
        <v>3</v>
      </c>
      <c r="I4" s="4"/>
      <c r="J4" s="5"/>
      <c r="K4" s="6" t="s">
        <v>4</v>
      </c>
      <c r="L4" s="4"/>
      <c r="M4" s="5"/>
      <c r="N4" s="6" t="s">
        <v>5</v>
      </c>
      <c r="O4" s="4"/>
      <c r="P4" s="5"/>
    </row>
    <row r="5">
      <c r="A5" s="7" t="s">
        <v>6</v>
      </c>
      <c r="B5" s="7" t="s">
        <v>7</v>
      </c>
      <c r="C5" s="7" t="s">
        <v>8</v>
      </c>
      <c r="D5" s="7" t="s">
        <v>9</v>
      </c>
      <c r="E5" s="8" t="s">
        <v>7</v>
      </c>
      <c r="F5" s="8" t="s">
        <v>8</v>
      </c>
      <c r="G5" s="8" t="s">
        <v>9</v>
      </c>
      <c r="H5" s="8" t="s">
        <v>7</v>
      </c>
      <c r="I5" s="8" t="s">
        <v>10</v>
      </c>
      <c r="J5" s="8" t="s">
        <v>9</v>
      </c>
      <c r="K5" s="8" t="s">
        <v>7</v>
      </c>
      <c r="L5" s="8" t="s">
        <v>8</v>
      </c>
      <c r="M5" s="8" t="s">
        <v>9</v>
      </c>
      <c r="N5" s="8" t="s">
        <v>7</v>
      </c>
      <c r="O5" s="8" t="s">
        <v>8</v>
      </c>
      <c r="P5" s="8" t="s">
        <v>9</v>
      </c>
      <c r="Q5" s="9"/>
      <c r="R5" s="9"/>
    </row>
    <row r="6">
      <c r="A6" s="10" t="s">
        <v>11</v>
      </c>
      <c r="B6" s="11">
        <v>300.0</v>
      </c>
      <c r="C6" s="12">
        <v>500.0</v>
      </c>
      <c r="D6" s="13">
        <v>800.0</v>
      </c>
      <c r="E6" s="14">
        <f t="shared" ref="E6:H6" si="1">B6+(B6*B10)</f>
        <v>330</v>
      </c>
      <c r="F6" s="15">
        <f t="shared" si="1"/>
        <v>625</v>
      </c>
      <c r="G6" s="16">
        <f t="shared" si="1"/>
        <v>1120</v>
      </c>
      <c r="H6" s="14">
        <f t="shared" si="1"/>
        <v>363</v>
      </c>
      <c r="I6" s="15">
        <f t="shared" ref="I6:J6" si="2">F6+(F6*C10)</f>
        <v>781.25</v>
      </c>
      <c r="J6" s="16">
        <f t="shared" si="2"/>
        <v>1568</v>
      </c>
      <c r="K6" s="14">
        <f>H6+(H6*H10)</f>
        <v>399.3</v>
      </c>
      <c r="L6" s="15">
        <f t="shared" ref="L6:M6" si="3">I6+(I6*C10)</f>
        <v>976.5625</v>
      </c>
      <c r="M6" s="16">
        <f t="shared" si="3"/>
        <v>2195.2</v>
      </c>
      <c r="N6" s="14">
        <f>K6+(K6*K10)</f>
        <v>439.23</v>
      </c>
      <c r="O6" s="15">
        <f t="shared" ref="O6:P6" si="4">L6+(L6*C10)</f>
        <v>1220.703125</v>
      </c>
      <c r="P6" s="16">
        <f t="shared" si="4"/>
        <v>3073.28</v>
      </c>
    </row>
    <row r="7">
      <c r="A7" s="17" t="s">
        <v>12</v>
      </c>
      <c r="B7" s="11">
        <f t="shared" ref="B7:P7" si="5">B6*B12</f>
        <v>180</v>
      </c>
      <c r="C7" s="18">
        <f t="shared" si="5"/>
        <v>300</v>
      </c>
      <c r="D7" s="19">
        <f t="shared" si="5"/>
        <v>480</v>
      </c>
      <c r="E7" s="20">
        <f t="shared" si="5"/>
        <v>198</v>
      </c>
      <c r="F7" s="21">
        <f t="shared" si="5"/>
        <v>375</v>
      </c>
      <c r="G7" s="22">
        <f t="shared" si="5"/>
        <v>672</v>
      </c>
      <c r="H7" s="23">
        <f t="shared" si="5"/>
        <v>217.8</v>
      </c>
      <c r="I7" s="24">
        <f t="shared" si="5"/>
        <v>468.75</v>
      </c>
      <c r="J7" s="25">
        <f t="shared" si="5"/>
        <v>940.8</v>
      </c>
      <c r="K7" s="23">
        <f t="shared" si="5"/>
        <v>239.58</v>
      </c>
      <c r="L7" s="24">
        <f t="shared" si="5"/>
        <v>585.9375</v>
      </c>
      <c r="M7" s="25">
        <f t="shared" si="5"/>
        <v>1317.12</v>
      </c>
      <c r="N7" s="23">
        <f t="shared" si="5"/>
        <v>263.538</v>
      </c>
      <c r="O7" s="24">
        <f t="shared" si="5"/>
        <v>732.421875</v>
      </c>
      <c r="P7" s="26">
        <f t="shared" si="5"/>
        <v>1843.968</v>
      </c>
    </row>
    <row r="8">
      <c r="A8" s="17" t="s">
        <v>13</v>
      </c>
      <c r="B8" s="27">
        <f t="shared" ref="B8:P8" si="6">B6-B7</f>
        <v>120</v>
      </c>
      <c r="C8" s="12">
        <f t="shared" si="6"/>
        <v>200</v>
      </c>
      <c r="D8" s="13">
        <f t="shared" si="6"/>
        <v>320</v>
      </c>
      <c r="E8" s="14">
        <f t="shared" si="6"/>
        <v>132</v>
      </c>
      <c r="F8" s="15">
        <f t="shared" si="6"/>
        <v>250</v>
      </c>
      <c r="G8" s="16">
        <f t="shared" si="6"/>
        <v>448</v>
      </c>
      <c r="H8" s="14">
        <f t="shared" si="6"/>
        <v>145.2</v>
      </c>
      <c r="I8" s="15">
        <f t="shared" si="6"/>
        <v>312.5</v>
      </c>
      <c r="J8" s="16">
        <f t="shared" si="6"/>
        <v>627.2</v>
      </c>
      <c r="K8" s="14">
        <f t="shared" si="6"/>
        <v>159.72</v>
      </c>
      <c r="L8" s="15">
        <f t="shared" si="6"/>
        <v>390.625</v>
      </c>
      <c r="M8" s="16">
        <f t="shared" si="6"/>
        <v>878.08</v>
      </c>
      <c r="N8" s="14">
        <f t="shared" si="6"/>
        <v>175.692</v>
      </c>
      <c r="O8" s="15">
        <f t="shared" si="6"/>
        <v>488.28125</v>
      </c>
      <c r="P8" s="16">
        <f t="shared" si="6"/>
        <v>1229.312</v>
      </c>
    </row>
    <row r="9">
      <c r="A9" s="10" t="s">
        <v>14</v>
      </c>
      <c r="B9" s="27">
        <v>50.0</v>
      </c>
      <c r="C9" s="12">
        <v>100.0</v>
      </c>
      <c r="D9" s="13">
        <v>150.0</v>
      </c>
      <c r="E9" s="14">
        <f t="shared" ref="E9:H9" si="7">B9+(B9*B11)</f>
        <v>55</v>
      </c>
      <c r="F9" s="15">
        <f t="shared" si="7"/>
        <v>130</v>
      </c>
      <c r="G9" s="16">
        <f t="shared" si="7"/>
        <v>225</v>
      </c>
      <c r="H9" s="14">
        <f t="shared" si="7"/>
        <v>60.5</v>
      </c>
      <c r="I9" s="15">
        <f t="shared" ref="I9:J9" si="8">F9+(F9*C11)</f>
        <v>169</v>
      </c>
      <c r="J9" s="16">
        <f t="shared" si="8"/>
        <v>337.5</v>
      </c>
      <c r="K9" s="14">
        <f>H9+(H9*H11)</f>
        <v>66.55</v>
      </c>
      <c r="L9" s="15">
        <f t="shared" ref="L9:M9" si="9">I9+(I9*C11)</f>
        <v>219.7</v>
      </c>
      <c r="M9" s="16">
        <f t="shared" si="9"/>
        <v>506.25</v>
      </c>
      <c r="N9" s="14">
        <f>K9+(K9*K11)</f>
        <v>73.205</v>
      </c>
      <c r="O9" s="15">
        <f t="shared" ref="O9:P9" si="10">L9+(L9*C11)</f>
        <v>285.61</v>
      </c>
      <c r="P9" s="16">
        <f t="shared" si="10"/>
        <v>759.375</v>
      </c>
    </row>
    <row r="10">
      <c r="A10" s="28" t="s">
        <v>15</v>
      </c>
      <c r="B10" s="29">
        <v>0.1</v>
      </c>
      <c r="C10" s="30">
        <v>0.25</v>
      </c>
      <c r="D10" s="31">
        <v>0.4</v>
      </c>
      <c r="E10" s="29">
        <v>0.1</v>
      </c>
      <c r="F10" s="32">
        <v>0.25</v>
      </c>
      <c r="G10" s="31">
        <v>0.4</v>
      </c>
      <c r="H10" s="29">
        <v>0.1</v>
      </c>
      <c r="I10" s="32">
        <v>0.25</v>
      </c>
      <c r="J10" s="31">
        <v>0.4</v>
      </c>
      <c r="K10" s="29">
        <v>0.1</v>
      </c>
      <c r="L10" s="32">
        <v>0.25</v>
      </c>
      <c r="M10" s="31">
        <v>0.4</v>
      </c>
      <c r="N10" s="29">
        <v>0.1</v>
      </c>
      <c r="O10" s="32">
        <v>0.25</v>
      </c>
      <c r="P10" s="31">
        <v>0.4</v>
      </c>
    </row>
    <row r="11">
      <c r="A11" s="28" t="s">
        <v>16</v>
      </c>
      <c r="B11" s="29">
        <v>0.1</v>
      </c>
      <c r="C11" s="32">
        <v>0.3</v>
      </c>
      <c r="D11" s="31">
        <v>0.5</v>
      </c>
      <c r="E11" s="29">
        <v>0.1</v>
      </c>
      <c r="F11" s="32">
        <v>0.3</v>
      </c>
      <c r="G11" s="31">
        <v>0.5</v>
      </c>
      <c r="H11" s="29">
        <v>0.1</v>
      </c>
      <c r="I11" s="32">
        <v>0.3</v>
      </c>
      <c r="J11" s="31">
        <v>0.5</v>
      </c>
      <c r="K11" s="29">
        <v>0.1</v>
      </c>
      <c r="L11" s="32">
        <v>0.3</v>
      </c>
      <c r="M11" s="31">
        <v>0.5</v>
      </c>
      <c r="N11" s="29">
        <v>0.1</v>
      </c>
      <c r="O11" s="32">
        <v>0.3</v>
      </c>
      <c r="P11" s="31">
        <v>0.5</v>
      </c>
    </row>
    <row r="12">
      <c r="A12" s="28" t="s">
        <v>17</v>
      </c>
      <c r="B12" s="33">
        <v>0.6</v>
      </c>
      <c r="C12" s="30">
        <v>0.6</v>
      </c>
      <c r="D12" s="34">
        <v>0.6</v>
      </c>
      <c r="E12" s="33">
        <v>0.6</v>
      </c>
      <c r="F12" s="30">
        <v>0.6</v>
      </c>
      <c r="G12" s="34">
        <v>0.6</v>
      </c>
      <c r="H12" s="33">
        <v>0.6</v>
      </c>
      <c r="I12" s="30">
        <v>0.6</v>
      </c>
      <c r="J12" s="34">
        <v>0.6</v>
      </c>
      <c r="K12" s="33">
        <v>0.6</v>
      </c>
      <c r="L12" s="30">
        <v>0.6</v>
      </c>
      <c r="M12" s="34">
        <v>0.6</v>
      </c>
      <c r="N12" s="33">
        <v>0.6</v>
      </c>
      <c r="O12" s="30">
        <v>0.6</v>
      </c>
      <c r="P12" s="34">
        <v>0.6</v>
      </c>
      <c r="Q12" s="9"/>
      <c r="R12" s="9"/>
    </row>
    <row r="13">
      <c r="A13" s="35" t="s">
        <v>18</v>
      </c>
      <c r="B13" s="36">
        <v>30.0</v>
      </c>
      <c r="C13" s="37">
        <v>30.0</v>
      </c>
      <c r="D13" s="38">
        <v>30.0</v>
      </c>
      <c r="E13" s="36">
        <v>30.0</v>
      </c>
      <c r="F13" s="37">
        <v>30.0</v>
      </c>
      <c r="G13" s="39">
        <v>30.0</v>
      </c>
      <c r="H13" s="36">
        <v>30.0</v>
      </c>
      <c r="I13" s="37">
        <v>30.0</v>
      </c>
      <c r="J13" s="39">
        <v>30.0</v>
      </c>
      <c r="K13" s="36">
        <v>30.0</v>
      </c>
      <c r="L13" s="37">
        <v>30.0</v>
      </c>
      <c r="M13" s="39">
        <v>30.0</v>
      </c>
      <c r="N13" s="36">
        <v>30.0</v>
      </c>
      <c r="O13" s="37">
        <v>30.0</v>
      </c>
      <c r="P13" s="39">
        <v>30.0</v>
      </c>
      <c r="Q13" s="9"/>
      <c r="R13" s="9"/>
    </row>
    <row r="14">
      <c r="A14" s="40" t="s">
        <v>19</v>
      </c>
      <c r="B14" s="41">
        <v>19.99</v>
      </c>
      <c r="C14" s="42">
        <v>19.99</v>
      </c>
      <c r="D14" s="43">
        <v>19.99</v>
      </c>
      <c r="E14" s="41">
        <v>19.99</v>
      </c>
      <c r="F14" s="42">
        <v>19.99</v>
      </c>
      <c r="G14" s="44">
        <v>19.99</v>
      </c>
      <c r="H14" s="41">
        <v>19.99</v>
      </c>
      <c r="I14" s="42">
        <v>19.99</v>
      </c>
      <c r="J14" s="44">
        <v>19.99</v>
      </c>
      <c r="K14" s="41">
        <v>19.99</v>
      </c>
      <c r="L14" s="42">
        <v>19.99</v>
      </c>
      <c r="M14" s="44">
        <v>19.99</v>
      </c>
      <c r="N14" s="41">
        <v>19.99</v>
      </c>
      <c r="O14" s="42">
        <v>19.99</v>
      </c>
      <c r="P14" s="44">
        <v>19.99</v>
      </c>
      <c r="Q14" s="9"/>
      <c r="R14" s="9"/>
    </row>
    <row r="15">
      <c r="A15" s="40" t="s">
        <v>20</v>
      </c>
      <c r="B15" s="41">
        <v>29.99</v>
      </c>
      <c r="C15" s="42">
        <v>29.99</v>
      </c>
      <c r="D15" s="43">
        <v>29.99</v>
      </c>
      <c r="E15" s="41">
        <v>29.99</v>
      </c>
      <c r="F15" s="42">
        <v>29.99</v>
      </c>
      <c r="G15" s="44">
        <v>29.99</v>
      </c>
      <c r="H15" s="41">
        <v>29.99</v>
      </c>
      <c r="I15" s="42">
        <v>29.99</v>
      </c>
      <c r="J15" s="44">
        <v>29.99</v>
      </c>
      <c r="K15" s="41">
        <v>29.99</v>
      </c>
      <c r="L15" s="42">
        <v>29.99</v>
      </c>
      <c r="M15" s="44">
        <v>29.99</v>
      </c>
      <c r="N15" s="41">
        <v>29.99</v>
      </c>
      <c r="O15" s="42">
        <v>29.99</v>
      </c>
      <c r="P15" s="44">
        <v>29.99</v>
      </c>
      <c r="Q15" s="9"/>
      <c r="R15" s="9"/>
    </row>
    <row r="16">
      <c r="A16" s="40" t="s">
        <v>21</v>
      </c>
      <c r="B16" s="41">
        <v>30.0</v>
      </c>
      <c r="C16" s="42">
        <v>30.0</v>
      </c>
      <c r="D16" s="43">
        <v>30.0</v>
      </c>
      <c r="E16" s="41">
        <v>30.0</v>
      </c>
      <c r="F16" s="42">
        <v>30.0</v>
      </c>
      <c r="G16" s="44">
        <v>30.0</v>
      </c>
      <c r="H16" s="41">
        <v>30.0</v>
      </c>
      <c r="I16" s="42">
        <v>30.0</v>
      </c>
      <c r="J16" s="44">
        <v>30.0</v>
      </c>
      <c r="K16" s="41">
        <v>30.0</v>
      </c>
      <c r="L16" s="42">
        <v>30.0</v>
      </c>
      <c r="M16" s="44">
        <v>30.0</v>
      </c>
      <c r="N16" s="41">
        <v>30.0</v>
      </c>
      <c r="O16" s="42">
        <v>30.0</v>
      </c>
      <c r="P16" s="44">
        <v>30.0</v>
      </c>
    </row>
    <row r="17">
      <c r="A17" s="40" t="s">
        <v>22</v>
      </c>
      <c r="B17" s="41">
        <v>8.99</v>
      </c>
      <c r="C17" s="42">
        <v>8.99</v>
      </c>
      <c r="D17" s="43">
        <v>8.99</v>
      </c>
      <c r="E17" s="41">
        <v>8.99</v>
      </c>
      <c r="F17" s="42">
        <v>8.99</v>
      </c>
      <c r="G17" s="44">
        <v>8.99</v>
      </c>
      <c r="H17" s="41">
        <v>8.99</v>
      </c>
      <c r="I17" s="42">
        <v>8.99</v>
      </c>
      <c r="J17" s="44">
        <v>8.99</v>
      </c>
      <c r="K17" s="41">
        <v>8.99</v>
      </c>
      <c r="L17" s="42">
        <v>8.99</v>
      </c>
      <c r="M17" s="44">
        <v>8.99</v>
      </c>
      <c r="N17" s="41">
        <v>8.99</v>
      </c>
      <c r="O17" s="42">
        <v>8.99</v>
      </c>
      <c r="P17" s="44">
        <v>8.99</v>
      </c>
    </row>
    <row r="18">
      <c r="A18" s="35" t="s">
        <v>23</v>
      </c>
      <c r="B18" s="29">
        <v>0.15</v>
      </c>
      <c r="C18" s="32">
        <v>0.15</v>
      </c>
      <c r="D18" s="31">
        <v>0.15</v>
      </c>
      <c r="E18" s="29">
        <v>0.15</v>
      </c>
      <c r="F18" s="32">
        <v>0.15</v>
      </c>
      <c r="G18" s="45">
        <v>0.15</v>
      </c>
      <c r="H18" s="29">
        <v>0.15</v>
      </c>
      <c r="I18" s="32">
        <v>0.15</v>
      </c>
      <c r="J18" s="45">
        <v>0.15</v>
      </c>
      <c r="K18" s="29">
        <v>0.15</v>
      </c>
      <c r="L18" s="32">
        <v>0.15</v>
      </c>
      <c r="M18" s="45">
        <v>0.15</v>
      </c>
      <c r="N18" s="29">
        <v>0.15</v>
      </c>
      <c r="O18" s="32">
        <v>0.15</v>
      </c>
      <c r="P18" s="45">
        <v>0.15</v>
      </c>
      <c r="Q18" s="46"/>
      <c r="R18" s="46"/>
    </row>
    <row r="19">
      <c r="A19" s="40" t="s">
        <v>24</v>
      </c>
      <c r="B19" s="29">
        <v>0.2</v>
      </c>
      <c r="C19" s="32">
        <v>0.2</v>
      </c>
      <c r="D19" s="31">
        <v>0.2</v>
      </c>
      <c r="E19" s="29">
        <v>0.2</v>
      </c>
      <c r="F19" s="32">
        <v>0.2</v>
      </c>
      <c r="G19" s="45">
        <v>0.2</v>
      </c>
      <c r="H19" s="29">
        <v>0.2</v>
      </c>
      <c r="I19" s="32">
        <v>0.2</v>
      </c>
      <c r="J19" s="45">
        <v>0.2</v>
      </c>
      <c r="K19" s="29">
        <v>0.2</v>
      </c>
      <c r="L19" s="32">
        <v>0.2</v>
      </c>
      <c r="M19" s="45">
        <v>0.2</v>
      </c>
      <c r="N19" s="29">
        <v>0.2</v>
      </c>
      <c r="O19" s="32">
        <v>0.2</v>
      </c>
      <c r="P19" s="45">
        <v>0.2</v>
      </c>
    </row>
    <row r="20">
      <c r="A20" s="40" t="s">
        <v>25</v>
      </c>
      <c r="B20" s="33">
        <v>0.2</v>
      </c>
      <c r="C20" s="30">
        <v>0.2</v>
      </c>
      <c r="D20" s="34">
        <v>0.2</v>
      </c>
      <c r="E20" s="33">
        <v>0.2</v>
      </c>
      <c r="F20" s="30">
        <v>0.2</v>
      </c>
      <c r="G20" s="47">
        <v>0.2</v>
      </c>
      <c r="H20" s="33">
        <v>0.2</v>
      </c>
      <c r="I20" s="30">
        <v>0.2</v>
      </c>
      <c r="J20" s="47">
        <v>0.2</v>
      </c>
      <c r="K20" s="33">
        <v>0.2</v>
      </c>
      <c r="L20" s="30">
        <v>0.2</v>
      </c>
      <c r="M20" s="47">
        <v>0.2</v>
      </c>
      <c r="N20" s="33">
        <v>0.2</v>
      </c>
      <c r="O20" s="30">
        <v>0.2</v>
      </c>
      <c r="P20" s="47">
        <v>0.2</v>
      </c>
      <c r="R20" s="48"/>
    </row>
    <row r="21">
      <c r="A21" s="40" t="s">
        <v>26</v>
      </c>
      <c r="B21" s="11">
        <v>4.0</v>
      </c>
      <c r="C21" s="18">
        <v>4.0</v>
      </c>
      <c r="D21" s="19">
        <v>4.0</v>
      </c>
      <c r="E21" s="11">
        <v>4.0</v>
      </c>
      <c r="F21" s="18">
        <v>4.0</v>
      </c>
      <c r="G21" s="49">
        <v>4.0</v>
      </c>
      <c r="H21" s="11">
        <v>4.0</v>
      </c>
      <c r="I21" s="18">
        <v>4.0</v>
      </c>
      <c r="J21" s="49">
        <v>4.0</v>
      </c>
      <c r="K21" s="11">
        <v>4.0</v>
      </c>
      <c r="L21" s="18">
        <v>4.0</v>
      </c>
      <c r="M21" s="49">
        <v>4.0</v>
      </c>
      <c r="N21" s="11">
        <v>4.0</v>
      </c>
      <c r="O21" s="18">
        <v>4.0</v>
      </c>
      <c r="P21" s="49">
        <v>4.0</v>
      </c>
    </row>
    <row r="22">
      <c r="A22" s="40" t="s">
        <v>27</v>
      </c>
      <c r="B22" s="27">
        <v>2.0</v>
      </c>
      <c r="C22" s="12">
        <v>5.0</v>
      </c>
      <c r="D22" s="13">
        <v>8.0</v>
      </c>
      <c r="E22" s="27">
        <v>2.0</v>
      </c>
      <c r="F22" s="12">
        <v>5.0</v>
      </c>
      <c r="G22" s="50">
        <v>8.0</v>
      </c>
      <c r="H22" s="27">
        <v>2.0</v>
      </c>
      <c r="I22" s="12">
        <v>5.0</v>
      </c>
      <c r="J22" s="50">
        <v>8.0</v>
      </c>
      <c r="K22" s="27">
        <v>2.0</v>
      </c>
      <c r="L22" s="12">
        <v>5.0</v>
      </c>
      <c r="M22" s="50">
        <v>8.0</v>
      </c>
      <c r="N22" s="27">
        <v>2.0</v>
      </c>
      <c r="O22" s="12">
        <v>5.0</v>
      </c>
      <c r="P22" s="50">
        <v>8.0</v>
      </c>
    </row>
    <row r="23">
      <c r="A23" s="40" t="s">
        <v>28</v>
      </c>
      <c r="B23" s="11">
        <v>0.0</v>
      </c>
      <c r="C23" s="18">
        <v>10.0</v>
      </c>
      <c r="D23" s="19">
        <v>20.0</v>
      </c>
      <c r="E23" s="11">
        <v>0.0</v>
      </c>
      <c r="F23" s="18">
        <v>10.0</v>
      </c>
      <c r="G23" s="49">
        <v>20.0</v>
      </c>
      <c r="H23" s="11">
        <v>0.0</v>
      </c>
      <c r="I23" s="18">
        <v>10.0</v>
      </c>
      <c r="J23" s="49">
        <v>20.0</v>
      </c>
      <c r="K23" s="11">
        <v>0.0</v>
      </c>
      <c r="L23" s="18">
        <v>10.0</v>
      </c>
      <c r="M23" s="49">
        <v>20.0</v>
      </c>
      <c r="N23" s="11">
        <v>0.0</v>
      </c>
      <c r="O23" s="18">
        <v>10.0</v>
      </c>
      <c r="P23" s="49">
        <v>20.0</v>
      </c>
    </row>
    <row r="25">
      <c r="A25" s="51"/>
      <c r="K25" s="52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</sheetData>
  <mergeCells count="6">
    <mergeCell ref="A4:D4"/>
    <mergeCell ref="E4:G4"/>
    <mergeCell ref="H4:J4"/>
    <mergeCell ref="K4:M4"/>
    <mergeCell ref="N4:P4"/>
    <mergeCell ref="A25:C25"/>
  </mergeCells>
  <printOptions/>
  <pageMargins bottom="1.0" footer="0.0" header="0.0" left="0.75" right="0.75" top="1.0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5.71"/>
    <col customWidth="1" min="2" max="6" width="15.0"/>
    <col customWidth="1" min="7" max="26" width="8.71"/>
  </cols>
  <sheetData>
    <row r="1">
      <c r="A1" s="53" t="s">
        <v>29</v>
      </c>
      <c r="B1" s="54"/>
      <c r="C1" s="54"/>
      <c r="D1" s="54"/>
      <c r="E1" s="54"/>
      <c r="F1" s="54"/>
    </row>
    <row r="2">
      <c r="A2" s="55" t="s">
        <v>30</v>
      </c>
      <c r="B2" s="56" t="s">
        <v>1</v>
      </c>
      <c r="C2" s="56" t="s">
        <v>2</v>
      </c>
      <c r="D2" s="56" t="s">
        <v>3</v>
      </c>
      <c r="E2" s="56" t="s">
        <v>4</v>
      </c>
      <c r="F2" s="56" t="s">
        <v>5</v>
      </c>
    </row>
    <row r="3">
      <c r="A3" s="57" t="s">
        <v>31</v>
      </c>
      <c r="B3" s="58">
        <v>12000.0</v>
      </c>
      <c r="C3" s="58"/>
      <c r="D3" s="58"/>
      <c r="E3" s="58"/>
      <c r="F3" s="58"/>
    </row>
    <row r="4">
      <c r="A4" s="57" t="s">
        <v>32</v>
      </c>
      <c r="B4" s="58"/>
      <c r="C4" s="58"/>
      <c r="D4" s="58"/>
      <c r="E4" s="58"/>
      <c r="F4" s="58"/>
    </row>
    <row r="5">
      <c r="A5" s="57" t="s">
        <v>33</v>
      </c>
      <c r="B5" s="58">
        <v>2000.0</v>
      </c>
      <c r="C5" s="59">
        <f t="shared" ref="C5:F5" si="1">B5+(B5*B16)</f>
        <v>2500</v>
      </c>
      <c r="D5" s="59">
        <f t="shared" si="1"/>
        <v>3125</v>
      </c>
      <c r="E5" s="59">
        <f t="shared" si="1"/>
        <v>3906.25</v>
      </c>
      <c r="F5" s="59">
        <f t="shared" si="1"/>
        <v>4882.8125</v>
      </c>
    </row>
    <row r="6">
      <c r="A6" s="17" t="s">
        <v>34</v>
      </c>
      <c r="B6" s="58">
        <v>20000.0</v>
      </c>
      <c r="C6" s="59">
        <f t="shared" ref="C6:F6" si="2">B6+(B6*B16)</f>
        <v>25000</v>
      </c>
      <c r="D6" s="59">
        <f t="shared" si="2"/>
        <v>31250</v>
      </c>
      <c r="E6" s="59">
        <f t="shared" si="2"/>
        <v>39062.5</v>
      </c>
      <c r="F6" s="59">
        <f t="shared" si="2"/>
        <v>48828.125</v>
      </c>
    </row>
    <row r="7">
      <c r="A7" s="57" t="s">
        <v>35</v>
      </c>
      <c r="B7" s="59">
        <v>5000.0</v>
      </c>
      <c r="C7" s="59">
        <f t="shared" ref="C7:F7" si="3">B7+(B7*B16)</f>
        <v>6250</v>
      </c>
      <c r="D7" s="59">
        <f t="shared" si="3"/>
        <v>7812.5</v>
      </c>
      <c r="E7" s="59">
        <f t="shared" si="3"/>
        <v>9765.625</v>
      </c>
      <c r="F7" s="59">
        <f t="shared" si="3"/>
        <v>12207.03125</v>
      </c>
    </row>
    <row r="8">
      <c r="A8" s="57" t="s">
        <v>36</v>
      </c>
      <c r="B8" s="58">
        <v>4000.0</v>
      </c>
      <c r="C8" s="59">
        <v>1500.0</v>
      </c>
      <c r="D8" s="59">
        <v>1500.0</v>
      </c>
      <c r="E8" s="59">
        <v>1500.0</v>
      </c>
      <c r="F8" s="59">
        <v>1500.0</v>
      </c>
    </row>
    <row r="9">
      <c r="A9" s="57" t="s">
        <v>37</v>
      </c>
      <c r="B9" s="58">
        <v>0.0</v>
      </c>
      <c r="C9" s="58">
        <v>1500.0</v>
      </c>
      <c r="D9" s="58">
        <v>1500.0</v>
      </c>
      <c r="E9" s="58">
        <v>1500.0</v>
      </c>
      <c r="F9" s="58">
        <v>1500.0</v>
      </c>
    </row>
    <row r="10">
      <c r="A10" s="57" t="s">
        <v>38</v>
      </c>
      <c r="B10" s="58">
        <v>1800.0</v>
      </c>
      <c r="C10" s="58">
        <v>2100.0</v>
      </c>
      <c r="D10" s="58">
        <v>2400.0</v>
      </c>
      <c r="E10" s="58">
        <v>2700.0</v>
      </c>
      <c r="F10" s="58">
        <v>3000.0</v>
      </c>
    </row>
    <row r="11">
      <c r="A11" s="57" t="s">
        <v>39</v>
      </c>
      <c r="B11" s="58">
        <v>2000.0</v>
      </c>
      <c r="C11" s="59">
        <f t="shared" ref="C11:F11" si="4">B11+(B11*B16)</f>
        <v>2500</v>
      </c>
      <c r="D11" s="59">
        <f t="shared" si="4"/>
        <v>3125</v>
      </c>
      <c r="E11" s="59">
        <f t="shared" si="4"/>
        <v>3906.25</v>
      </c>
      <c r="F11" s="59">
        <f t="shared" si="4"/>
        <v>4882.8125</v>
      </c>
    </row>
    <row r="12">
      <c r="A12" s="57" t="s">
        <v>40</v>
      </c>
      <c r="B12" s="59">
        <v>1200.0</v>
      </c>
      <c r="C12" s="59">
        <f t="shared" ref="C12:F12" si="5">B12+(B12*B16)</f>
        <v>1500</v>
      </c>
      <c r="D12" s="59">
        <f t="shared" si="5"/>
        <v>1875</v>
      </c>
      <c r="E12" s="59">
        <f t="shared" si="5"/>
        <v>2343.75</v>
      </c>
      <c r="F12" s="59">
        <f t="shared" si="5"/>
        <v>2929.6875</v>
      </c>
    </row>
    <row r="13">
      <c r="A13" s="57" t="s">
        <v>41</v>
      </c>
      <c r="B13" s="58">
        <v>750.0</v>
      </c>
      <c r="C13" s="59">
        <f t="shared" ref="C13:F13" si="6">B13+(B13*B16)</f>
        <v>937.5</v>
      </c>
      <c r="D13" s="59">
        <f t="shared" si="6"/>
        <v>1171.875</v>
      </c>
      <c r="E13" s="59">
        <f t="shared" si="6"/>
        <v>1464.84375</v>
      </c>
      <c r="F13" s="59">
        <f t="shared" si="6"/>
        <v>1831.054688</v>
      </c>
    </row>
    <row r="14">
      <c r="A14" s="57" t="s">
        <v>42</v>
      </c>
      <c r="B14" s="58">
        <v>7200.0</v>
      </c>
      <c r="C14" s="59">
        <v>7200.0</v>
      </c>
      <c r="D14" s="59">
        <v>7200.0</v>
      </c>
      <c r="E14" s="59">
        <v>7200.0</v>
      </c>
      <c r="F14" s="59">
        <v>7200.0</v>
      </c>
    </row>
    <row r="15">
      <c r="A15" s="57" t="s">
        <v>43</v>
      </c>
      <c r="B15" s="58">
        <f t="shared" ref="B15:F15" si="7">(B3+B4+B5+B6+B7+B8+B9+B10+B11+B12+B13+B14)*5%</f>
        <v>2797.5</v>
      </c>
      <c r="C15" s="58">
        <f t="shared" si="7"/>
        <v>2549.375</v>
      </c>
      <c r="D15" s="58">
        <f t="shared" si="7"/>
        <v>3047.96875</v>
      </c>
      <c r="E15" s="58">
        <f t="shared" si="7"/>
        <v>3667.460938</v>
      </c>
      <c r="F15" s="58">
        <f t="shared" si="7"/>
        <v>4438.076172</v>
      </c>
    </row>
    <row r="16">
      <c r="A16" s="60" t="s">
        <v>44</v>
      </c>
      <c r="B16" s="61">
        <f>'Hypothèses Clés'!C10</f>
        <v>0.25</v>
      </c>
      <c r="C16" s="61">
        <f>'Hypothèses Clés'!F10</f>
        <v>0.25</v>
      </c>
      <c r="D16" s="61">
        <f>'Hypothèses Clés'!I10</f>
        <v>0.25</v>
      </c>
      <c r="E16" s="61">
        <f>'Hypothèses Clés'!L10</f>
        <v>0.25</v>
      </c>
      <c r="F16" s="61">
        <f>'Hypothèses Clés'!O10</f>
        <v>0.25</v>
      </c>
    </row>
    <row r="17">
      <c r="A17" s="62" t="s">
        <v>45</v>
      </c>
      <c r="B17" s="63">
        <f t="shared" ref="B17:F17" si="8">SUM(B3:B16)</f>
        <v>58747.75</v>
      </c>
      <c r="C17" s="63">
        <f t="shared" si="8"/>
        <v>53537.125</v>
      </c>
      <c r="D17" s="63">
        <f t="shared" si="8"/>
        <v>64007.59375</v>
      </c>
      <c r="E17" s="63">
        <f t="shared" si="8"/>
        <v>77016.92969</v>
      </c>
      <c r="F17" s="63">
        <f t="shared" si="8"/>
        <v>93199.84961</v>
      </c>
    </row>
    <row r="19">
      <c r="A19" s="64" t="s">
        <v>46</v>
      </c>
      <c r="D19" s="64"/>
    </row>
    <row r="20">
      <c r="A20" s="64" t="s">
        <v>47</v>
      </c>
    </row>
    <row r="21" ht="15.75" customHeight="1">
      <c r="A21" s="64" t="s">
        <v>48</v>
      </c>
    </row>
    <row r="22" ht="15.75" customHeight="1">
      <c r="A22" s="64" t="s">
        <v>49</v>
      </c>
    </row>
    <row r="23" ht="15.75" customHeight="1">
      <c r="A23" s="64" t="s">
        <v>50</v>
      </c>
    </row>
    <row r="24" ht="15.75" customHeight="1">
      <c r="A24" s="64"/>
      <c r="B24" s="64"/>
      <c r="C24" s="64"/>
      <c r="D24" s="64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9:C19"/>
    <mergeCell ref="A20:G20"/>
    <mergeCell ref="A21:H21"/>
    <mergeCell ref="A22:F22"/>
    <mergeCell ref="A23:F23"/>
  </mergeCells>
  <printOptions/>
  <pageMargins bottom="1.0" footer="0.0" header="0.0" left="0.75" right="0.75" top="1.0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4.43"/>
    <col customWidth="1" min="2" max="6" width="15.0"/>
    <col customWidth="1" min="7" max="26" width="8.71"/>
  </cols>
  <sheetData>
    <row r="1">
      <c r="A1" s="53" t="s">
        <v>51</v>
      </c>
      <c r="B1" s="53"/>
      <c r="C1" s="53"/>
      <c r="D1" s="53"/>
      <c r="E1" s="53"/>
      <c r="F1" s="53"/>
    </row>
    <row r="2">
      <c r="A2" s="55"/>
      <c r="B2" s="55" t="s">
        <v>1</v>
      </c>
      <c r="C2" s="55" t="s">
        <v>2</v>
      </c>
      <c r="D2" s="55" t="s">
        <v>3</v>
      </c>
      <c r="E2" s="55" t="s">
        <v>4</v>
      </c>
      <c r="F2" s="55" t="s">
        <v>5</v>
      </c>
    </row>
    <row r="3">
      <c r="A3" s="57" t="s">
        <v>52</v>
      </c>
    </row>
    <row r="4">
      <c r="A4" s="17" t="s">
        <v>53</v>
      </c>
      <c r="B4" s="65">
        <f>'Hypothèses Clés'!B8*'Hypothèses Clés'!B21*'Hypothèses Clés'!B13*'Hypothèses Clés'!B18*12</f>
        <v>25920</v>
      </c>
      <c r="C4" s="65">
        <f>'Hypothèses Clés'!E8*'Hypothèses Clés'!E21*'Hypothèses Clés'!E13*'Hypothèses Clés'!E18*12</f>
        <v>28512</v>
      </c>
      <c r="D4" s="65">
        <f>'Hypothèses Clés'!H8*'Hypothèses Clés'!H21*'Hypothèses Clés'!H13*'Hypothèses Clés'!H18*12</f>
        <v>31363.2</v>
      </c>
      <c r="E4" s="66">
        <f>'Hypothèses Clés'!K8*'Hypothèses Clés'!K21*'Hypothèses Clés'!K13*'Hypothèses Clés'!K18*12</f>
        <v>34499.52</v>
      </c>
      <c r="F4" s="65">
        <f>'Hypothèses Clés'!N8*'Hypothèses Clés'!N21*'Hypothèses Clés'!N13*'Hypothèses Clés'!N18*12</f>
        <v>37949.472</v>
      </c>
    </row>
    <row r="5">
      <c r="A5" s="17" t="s">
        <v>54</v>
      </c>
      <c r="B5" s="65">
        <f>'Hypothèses Clés'!B7*'Hypothèses Clés'!B14*12</f>
        <v>43178.4</v>
      </c>
      <c r="C5" s="65">
        <f>'Hypothèses Clés'!E7*'Hypothèses Clés'!E14*12</f>
        <v>47496.24</v>
      </c>
      <c r="D5" s="65">
        <f>'Hypothèses Clés'!H7*'Hypothèses Clés'!H14*12</f>
        <v>52245.864</v>
      </c>
      <c r="E5" s="65">
        <f>'Hypothèses Clés'!K7*'Hypothèses Clés'!K14*12</f>
        <v>57470.4504</v>
      </c>
      <c r="F5" s="65">
        <f>'Hypothèses Clés'!N7*'Hypothèses Clés'!N14*12</f>
        <v>63217.49544</v>
      </c>
    </row>
    <row r="6">
      <c r="A6" s="17" t="s">
        <v>55</v>
      </c>
      <c r="B6" s="65">
        <f>'Hypothèses Clés'!B9*'Hypothèses Clés'!B15*12</f>
        <v>17994</v>
      </c>
      <c r="C6" s="65">
        <f>'Hypothèses Clés'!E9*'Hypothèses Clés'!E15*12</f>
        <v>19793.4</v>
      </c>
      <c r="D6" s="65">
        <f>'Hypothèses Clés'!H9*'Hypothèses Clés'!H15*12</f>
        <v>21772.74</v>
      </c>
      <c r="E6" s="65">
        <f>'Hypothèses Clés'!K9*'Hypothèses Clés'!K15*12</f>
        <v>23950.014</v>
      </c>
      <c r="F6" s="65">
        <f>'Hypothèses Clés'!N9*'Hypothèses Clés'!N15*12</f>
        <v>26345.0154</v>
      </c>
    </row>
    <row r="7">
      <c r="A7" s="17" t="s">
        <v>56</v>
      </c>
      <c r="B7" s="65">
        <f>'Hypothèses Clés'!B7*'Hypothèses Clés'!B22*'Hypothèses Clés'!B16*'Hypothèses Clés'!B19*12</f>
        <v>25920</v>
      </c>
      <c r="C7" s="65">
        <f>'Hypothèses Clés'!E7*'Hypothèses Clés'!E22*'Hypothèses Clés'!E16*'Hypothèses Clés'!E19*12</f>
        <v>28512</v>
      </c>
      <c r="D7" s="65">
        <f>'Hypothèses Clés'!H7*'Hypothèses Clés'!H22*'Hypothèses Clés'!H16*'Hypothèses Clés'!H19*12</f>
        <v>31363.2</v>
      </c>
      <c r="E7" s="65">
        <f>'Hypothèses Clés'!K7*'Hypothèses Clés'!K22*'Hypothèses Clés'!K16*'Hypothèses Clés'!K19*12</f>
        <v>34499.52</v>
      </c>
      <c r="F7" s="65">
        <f>'Hypothèses Clés'!N7*'Hypothèses Clés'!N22*'Hypothèses Clés'!N16*'Hypothèses Clés'!N19*12</f>
        <v>37949.472</v>
      </c>
    </row>
    <row r="8">
      <c r="A8" s="17" t="s">
        <v>57</v>
      </c>
      <c r="B8" s="65">
        <f>'Hypothèses Clés'!B7*'Hypothèses Clés'!B23*'Hypothèses Clés'!B17*'Hypothèses Clés'!B20*12</f>
        <v>0</v>
      </c>
      <c r="C8" s="66">
        <f>'Hypothèses Clés'!E7*'Hypothèses Clés'!E23*'Hypothèses Clés'!E17*'Hypothèses Clés'!E20*12</f>
        <v>0</v>
      </c>
      <c r="D8" s="65">
        <f>'Hypothèses Clés'!H7*'Hypothèses Clés'!H23*'Hypothèses Clés'!H17*'Hypothèses Clés'!H20*12</f>
        <v>0</v>
      </c>
      <c r="E8" s="65">
        <f>'Hypothèses Clés'!K7*'Hypothèses Clés'!K23*'Hypothèses Clés'!K17*'Hypothèses Clés'!K20*12</f>
        <v>0</v>
      </c>
      <c r="F8" s="65">
        <f>'Hypothèses Clés'!N7*'Hypothèses Clés'!N23*'Hypothèses Clés'!N17*'Hypothèses Clés'!N20*12</f>
        <v>0</v>
      </c>
    </row>
    <row r="9">
      <c r="A9" s="60" t="s">
        <v>58</v>
      </c>
      <c r="B9" s="67">
        <f t="shared" ref="B9:F9" si="1">(B4+B5+B6+B7+B8)/12/1.2</f>
        <v>7848.083333</v>
      </c>
      <c r="C9" s="67">
        <f t="shared" si="1"/>
        <v>8632.891667</v>
      </c>
      <c r="D9" s="67">
        <f t="shared" si="1"/>
        <v>9496.180833</v>
      </c>
      <c r="E9" s="67">
        <f t="shared" si="1"/>
        <v>10445.79892</v>
      </c>
      <c r="F9" s="67">
        <f t="shared" si="1"/>
        <v>11490.37881</v>
      </c>
    </row>
    <row r="10">
      <c r="A10" s="60" t="s">
        <v>59</v>
      </c>
      <c r="B10" s="67">
        <f t="shared" ref="B10:F10" si="2">SUM(B3:B8)/1.2</f>
        <v>94177</v>
      </c>
      <c r="C10" s="67">
        <f t="shared" si="2"/>
        <v>103594.7</v>
      </c>
      <c r="D10" s="67">
        <f t="shared" si="2"/>
        <v>113954.17</v>
      </c>
      <c r="E10" s="67">
        <f t="shared" si="2"/>
        <v>125349.587</v>
      </c>
      <c r="F10" s="67">
        <f t="shared" si="2"/>
        <v>137884.5457</v>
      </c>
    </row>
    <row r="11">
      <c r="A11" s="57"/>
    </row>
    <row r="12">
      <c r="A12" s="57" t="s">
        <v>60</v>
      </c>
      <c r="B12" s="57"/>
      <c r="C12" s="57"/>
      <c r="D12" s="57"/>
      <c r="E12" s="57"/>
      <c r="F12" s="57"/>
    </row>
    <row r="13">
      <c r="A13" s="57" t="s">
        <v>61</v>
      </c>
      <c r="B13" s="65">
        <f>'Charges Opérationnelles'!B17</f>
        <v>58747.75</v>
      </c>
      <c r="C13" s="65">
        <f>'Charges Opérationnelles'!C17</f>
        <v>53537.125</v>
      </c>
      <c r="D13" s="65">
        <f>'Charges Opérationnelles'!D17</f>
        <v>64007.59375</v>
      </c>
      <c r="E13" s="65">
        <f>'Charges Opérationnelles'!E17</f>
        <v>77016.92969</v>
      </c>
      <c r="F13" s="65">
        <f>'Charges Opérationnelles'!F17</f>
        <v>93199.84961</v>
      </c>
    </row>
    <row r="14">
      <c r="A14" s="57" t="s">
        <v>62</v>
      </c>
      <c r="B14" s="65">
        <f>('Hypothèses Clés'!C6+'Hypothèses Clés'!C9)*2*12</f>
        <v>14400</v>
      </c>
      <c r="C14" s="65">
        <f>('Hypothèses Clés'!F6+'Hypothèses Clés'!F9)*2*12</f>
        <v>18120</v>
      </c>
      <c r="D14" s="65">
        <f>('Hypothèses Clés'!I6+'Hypothèses Clés'!I9)*2*12</f>
        <v>22806</v>
      </c>
      <c r="E14" s="65">
        <f>('Hypothèses Clés'!L6+'Hypothèses Clés'!L9)*2*12</f>
        <v>28710.3</v>
      </c>
      <c r="F14" s="65">
        <f>('Hypothèses Clés'!O6+'Hypothèses Clés'!O9)*2*12</f>
        <v>36151.515</v>
      </c>
    </row>
    <row r="15">
      <c r="A15" s="68" t="s">
        <v>45</v>
      </c>
      <c r="B15" s="68">
        <f t="shared" ref="B15:F15" si="3">SUM(B13:B14)</f>
        <v>73147.75</v>
      </c>
      <c r="C15" s="68">
        <f t="shared" si="3"/>
        <v>71657.125</v>
      </c>
      <c r="D15" s="68">
        <f t="shared" si="3"/>
        <v>86813.59375</v>
      </c>
      <c r="E15" s="68">
        <f t="shared" si="3"/>
        <v>105727.2297</v>
      </c>
      <c r="F15" s="68">
        <f t="shared" si="3"/>
        <v>129351.3646</v>
      </c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>
      <c r="A16" s="68"/>
      <c r="B16" s="69"/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</row>
    <row r="17">
      <c r="A17" s="70" t="s">
        <v>63</v>
      </c>
      <c r="B17" s="70">
        <f t="shared" ref="B17:F17" si="4">B10-B15</f>
        <v>21029.25</v>
      </c>
      <c r="C17" s="70">
        <f t="shared" si="4"/>
        <v>31937.575</v>
      </c>
      <c r="D17" s="70">
        <f t="shared" si="4"/>
        <v>27140.57625</v>
      </c>
      <c r="E17" s="70">
        <f t="shared" si="4"/>
        <v>19622.35731</v>
      </c>
      <c r="F17" s="70">
        <f t="shared" si="4"/>
        <v>8533.181091</v>
      </c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</row>
    <row r="18">
      <c r="A18" s="70" t="s">
        <v>64</v>
      </c>
      <c r="B18" s="70">
        <f t="shared" ref="B18:F18" si="5">(B17/B10)*100</f>
        <v>22.32949659</v>
      </c>
      <c r="C18" s="70">
        <f t="shared" si="5"/>
        <v>30.82935227</v>
      </c>
      <c r="D18" s="70">
        <f t="shared" si="5"/>
        <v>23.81709792</v>
      </c>
      <c r="E18" s="70">
        <f t="shared" si="5"/>
        <v>15.65410607</v>
      </c>
      <c r="F18" s="70">
        <f t="shared" si="5"/>
        <v>6.188642133</v>
      </c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</row>
    <row r="19">
      <c r="A19" s="70" t="s">
        <v>65</v>
      </c>
      <c r="B19" s="71">
        <v>1500.0</v>
      </c>
      <c r="C19" s="71">
        <v>2000.0</v>
      </c>
      <c r="D19" s="71">
        <v>2500.0</v>
      </c>
      <c r="E19" s="71">
        <v>3000.0</v>
      </c>
      <c r="F19" s="71">
        <v>3500.0</v>
      </c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</row>
    <row r="20">
      <c r="A20" s="70" t="s">
        <v>66</v>
      </c>
      <c r="B20" s="70">
        <f>B10-B15-B19</f>
        <v>19529.25</v>
      </c>
      <c r="C20" s="70">
        <f t="shared" ref="C20:F20" si="6">C10-C13-C19</f>
        <v>48057.575</v>
      </c>
      <c r="D20" s="70">
        <f t="shared" si="6"/>
        <v>47446.57625</v>
      </c>
      <c r="E20" s="70">
        <f t="shared" si="6"/>
        <v>45332.65731</v>
      </c>
      <c r="F20" s="70">
        <f t="shared" si="6"/>
        <v>41184.69609</v>
      </c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</row>
    <row r="21" ht="15.75" customHeight="1">
      <c r="A21" s="70"/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</row>
    <row r="22" ht="15.75" customHeight="1">
      <c r="A22" s="71" t="s">
        <v>67</v>
      </c>
      <c r="B22" s="71">
        <v>0.0</v>
      </c>
      <c r="C22" s="71">
        <f>E35</f>
        <v>14700</v>
      </c>
      <c r="D22" s="71">
        <f>E36</f>
        <v>14160</v>
      </c>
      <c r="E22" s="71">
        <f>E37</f>
        <v>13620</v>
      </c>
      <c r="F22" s="71">
        <f>E38</f>
        <v>13080</v>
      </c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</row>
    <row r="23" ht="15.75" customHeight="1">
      <c r="A23" s="70" t="s">
        <v>68</v>
      </c>
      <c r="B23" s="70">
        <f t="shared" ref="B23:F23" si="7">B10-B15-B19-B22</f>
        <v>19529.25</v>
      </c>
      <c r="C23" s="70">
        <f t="shared" si="7"/>
        <v>15237.575</v>
      </c>
      <c r="D23" s="70">
        <f t="shared" si="7"/>
        <v>10480.57625</v>
      </c>
      <c r="E23" s="70">
        <f t="shared" si="7"/>
        <v>3002.357312</v>
      </c>
      <c r="F23" s="70">
        <f t="shared" si="7"/>
        <v>-8046.818909</v>
      </c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</row>
    <row r="24" ht="15.75" customHeight="1">
      <c r="A24" s="68" t="s">
        <v>69</v>
      </c>
      <c r="B24" s="68">
        <f t="shared" ref="B24:F24" si="8">B23*0.25</f>
        <v>4882.3125</v>
      </c>
      <c r="C24" s="68">
        <f t="shared" si="8"/>
        <v>3809.39375</v>
      </c>
      <c r="D24" s="68">
        <f t="shared" si="8"/>
        <v>2620.144062</v>
      </c>
      <c r="E24" s="68">
        <f t="shared" si="8"/>
        <v>750.5893281</v>
      </c>
      <c r="F24" s="68">
        <f t="shared" si="8"/>
        <v>-2011.704727</v>
      </c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</row>
    <row r="25" ht="15.75" customHeight="1">
      <c r="A25" s="72" t="s">
        <v>70</v>
      </c>
      <c r="B25" s="72">
        <f>B23-B24</f>
        <v>14646.9375</v>
      </c>
      <c r="C25" s="72">
        <f t="shared" ref="C25:D25" si="9">C23*1.25</f>
        <v>19046.96875</v>
      </c>
      <c r="D25" s="72">
        <f t="shared" si="9"/>
        <v>13100.72031</v>
      </c>
      <c r="E25" s="72">
        <f>E23-E24</f>
        <v>2251.767984</v>
      </c>
      <c r="F25" s="72">
        <f>F23-(F23*25%)</f>
        <v>-6035.114182</v>
      </c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</row>
    <row r="26" ht="15.75" customHeight="1">
      <c r="A26" s="57" t="s">
        <v>71</v>
      </c>
      <c r="B26" s="57">
        <f t="shared" ref="B26:F26" si="10">(B25/B10)*100</f>
        <v>15.55256326</v>
      </c>
      <c r="C26" s="57">
        <f t="shared" si="10"/>
        <v>18.38604557</v>
      </c>
      <c r="D26" s="57">
        <f t="shared" si="10"/>
        <v>11.49648171</v>
      </c>
      <c r="E26" s="57">
        <f t="shared" si="10"/>
        <v>1.79639043</v>
      </c>
      <c r="F26" s="57">
        <f t="shared" si="10"/>
        <v>-4.376933</v>
      </c>
    </row>
    <row r="27" ht="15.75" customHeight="1">
      <c r="A27" s="73"/>
      <c r="B27" s="74"/>
      <c r="C27" s="74"/>
      <c r="D27" s="74"/>
      <c r="E27" s="74"/>
      <c r="F27" s="74"/>
    </row>
    <row r="28" ht="15.75" customHeight="1">
      <c r="A28" s="75"/>
      <c r="B28" s="75"/>
      <c r="C28" s="76"/>
      <c r="D28" s="76"/>
      <c r="E28" s="76"/>
      <c r="F28" s="76"/>
    </row>
    <row r="29" ht="15.75" customHeight="1">
      <c r="A29" s="64"/>
      <c r="B29" s="64"/>
    </row>
    <row r="30" ht="15.75" customHeight="1">
      <c r="A30" s="64" t="s">
        <v>72</v>
      </c>
      <c r="B30" s="64">
        <v>60000.0</v>
      </c>
    </row>
    <row r="31" ht="15.75" customHeight="1">
      <c r="A31" s="64" t="s">
        <v>73</v>
      </c>
      <c r="B31" s="77">
        <v>0.045</v>
      </c>
    </row>
    <row r="32" ht="15.75" customHeight="1">
      <c r="A32" s="64" t="s">
        <v>74</v>
      </c>
      <c r="B32" s="64">
        <v>5.0</v>
      </c>
    </row>
    <row r="33" ht="15.75" customHeight="1"/>
    <row r="34" ht="15.75" customHeight="1">
      <c r="A34" s="78" t="s">
        <v>75</v>
      </c>
      <c r="B34" s="78" t="s">
        <v>76</v>
      </c>
      <c r="C34" s="78" t="s">
        <v>77</v>
      </c>
      <c r="D34" s="78" t="s">
        <v>78</v>
      </c>
      <c r="E34" s="78" t="s">
        <v>79</v>
      </c>
      <c r="F34" s="79" t="s">
        <v>80</v>
      </c>
    </row>
    <row r="35" ht="15.75" customHeight="1">
      <c r="A35" s="80">
        <v>1.0</v>
      </c>
      <c r="B35" s="81">
        <f>B30/B32</f>
        <v>12000</v>
      </c>
      <c r="C35" s="82">
        <v>0.045</v>
      </c>
      <c r="D35" s="81">
        <f>B30*B31</f>
        <v>2700</v>
      </c>
      <c r="E35" s="81">
        <f t="shared" ref="E35:E39" si="11">B35+D35</f>
        <v>14700</v>
      </c>
      <c r="F35" s="81">
        <f>B30-B35</f>
        <v>48000</v>
      </c>
    </row>
    <row r="36" ht="15.75" customHeight="1">
      <c r="A36" s="80">
        <v>2.0</v>
      </c>
      <c r="B36" s="81">
        <f>B30/B32</f>
        <v>12000</v>
      </c>
      <c r="C36" s="82">
        <v>0.045</v>
      </c>
      <c r="D36" s="81">
        <f t="shared" ref="D36:D39" si="12">F35*C36</f>
        <v>2160</v>
      </c>
      <c r="E36" s="81">
        <f t="shared" si="11"/>
        <v>14160</v>
      </c>
      <c r="F36" s="81">
        <f t="shared" ref="F36:F39" si="13">F35-B36</f>
        <v>36000</v>
      </c>
    </row>
    <row r="37" ht="15.75" customHeight="1">
      <c r="A37" s="80">
        <v>3.0</v>
      </c>
      <c r="B37" s="81">
        <f>B30/B32</f>
        <v>12000</v>
      </c>
      <c r="C37" s="82">
        <v>0.045</v>
      </c>
      <c r="D37" s="81">
        <f t="shared" si="12"/>
        <v>1620</v>
      </c>
      <c r="E37" s="81">
        <f t="shared" si="11"/>
        <v>13620</v>
      </c>
      <c r="F37" s="81">
        <f t="shared" si="13"/>
        <v>24000</v>
      </c>
    </row>
    <row r="38" ht="15.75" customHeight="1">
      <c r="A38" s="80">
        <v>4.0</v>
      </c>
      <c r="B38" s="83">
        <v>12000.0</v>
      </c>
      <c r="C38" s="82">
        <v>0.045</v>
      </c>
      <c r="D38" s="81">
        <f t="shared" si="12"/>
        <v>1080</v>
      </c>
      <c r="E38" s="81">
        <f t="shared" si="11"/>
        <v>13080</v>
      </c>
      <c r="F38" s="81">
        <f t="shared" si="13"/>
        <v>12000</v>
      </c>
    </row>
    <row r="39" ht="15.75" customHeight="1">
      <c r="A39" s="80">
        <v>5.0</v>
      </c>
      <c r="B39" s="83">
        <v>12000.0</v>
      </c>
      <c r="C39" s="82">
        <v>0.045</v>
      </c>
      <c r="D39" s="81">
        <f t="shared" si="12"/>
        <v>540</v>
      </c>
      <c r="E39" s="81">
        <f t="shared" si="11"/>
        <v>12540</v>
      </c>
      <c r="F39" s="81">
        <f t="shared" si="13"/>
        <v>0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4.29"/>
    <col customWidth="1" min="2" max="6" width="15.0"/>
    <col customWidth="1" min="7" max="26" width="8.71"/>
  </cols>
  <sheetData>
    <row r="1">
      <c r="A1" s="53" t="s">
        <v>81</v>
      </c>
      <c r="B1" s="53"/>
      <c r="C1" s="53"/>
      <c r="D1" s="53"/>
      <c r="E1" s="53"/>
      <c r="F1" s="53"/>
    </row>
    <row r="2">
      <c r="A2" s="55"/>
      <c r="B2" s="55" t="s">
        <v>1</v>
      </c>
      <c r="C2" s="55" t="s">
        <v>2</v>
      </c>
      <c r="D2" s="55" t="s">
        <v>3</v>
      </c>
      <c r="E2" s="55" t="s">
        <v>4</v>
      </c>
      <c r="F2" s="55" t="s">
        <v>5</v>
      </c>
    </row>
    <row r="3">
      <c r="A3" s="57" t="s">
        <v>52</v>
      </c>
    </row>
    <row r="4">
      <c r="A4" s="17" t="s">
        <v>53</v>
      </c>
      <c r="B4" s="65">
        <f>'Hypothèses Clés'!C8*'Hypothèses Clés'!C21*'Hypothèses Clés'!C13*'Hypothèses Clés'!C18*12</f>
        <v>43200</v>
      </c>
      <c r="C4" s="65">
        <f>'Hypothèses Clés'!F8*'Hypothèses Clés'!F21*'Hypothèses Clés'!F13*'Hypothèses Clés'!F18*12</f>
        <v>54000</v>
      </c>
      <c r="D4" s="65">
        <f>'Hypothèses Clés'!I8*'Hypothèses Clés'!I21*'Hypothèses Clés'!I13*'Hypothèses Clés'!I18*12</f>
        <v>67500</v>
      </c>
      <c r="E4" s="66">
        <f>'Hypothèses Clés'!L8*'Hypothèses Clés'!L21*'Hypothèses Clés'!L13*'Hypothèses Clés'!L18*12</f>
        <v>84375</v>
      </c>
      <c r="F4" s="65">
        <f>'Hypothèses Clés'!O8*'Hypothèses Clés'!O21*'Hypothèses Clés'!O13*'Hypothèses Clés'!O18*12</f>
        <v>105468.75</v>
      </c>
    </row>
    <row r="5">
      <c r="A5" s="17" t="s">
        <v>54</v>
      </c>
      <c r="B5" s="65">
        <f>'Hypothèses Clés'!C7*'Hypothèses Clés'!C14*12</f>
        <v>71964</v>
      </c>
      <c r="C5" s="65">
        <f>'Hypothèses Clés'!F7*'Hypothèses Clés'!F14*12</f>
        <v>89955</v>
      </c>
      <c r="D5" s="65">
        <f>'Hypothèses Clés'!I7*'Hypothèses Clés'!I14*12</f>
        <v>112443.75</v>
      </c>
      <c r="E5" s="65">
        <f>'Hypothèses Clés'!L7*'Hypothèses Clés'!L14*12</f>
        <v>140554.6875</v>
      </c>
      <c r="F5" s="65">
        <f>'Hypothèses Clés'!O7*'Hypothèses Clés'!O14*12</f>
        <v>175693.3594</v>
      </c>
    </row>
    <row r="6">
      <c r="A6" s="17" t="s">
        <v>55</v>
      </c>
      <c r="B6" s="65">
        <f>'Hypothèses Clés'!C9*'Hypothèses Clés'!C15*12</f>
        <v>35988</v>
      </c>
      <c r="C6" s="65">
        <f>'Hypothèses Clés'!F9*'Hypothèses Clés'!F15*12</f>
        <v>46784.4</v>
      </c>
      <c r="D6" s="65">
        <f>'Hypothèses Clés'!I9*'Hypothèses Clés'!I15*12</f>
        <v>60819.72</v>
      </c>
      <c r="E6" s="65">
        <f>'Hypothèses Clés'!L9*'Hypothèses Clés'!L15*12</f>
        <v>79065.636</v>
      </c>
      <c r="F6" s="65">
        <f>'Hypothèses Clés'!O9*'Hypothèses Clés'!O15*12</f>
        <v>102785.3268</v>
      </c>
      <c r="G6" s="84"/>
    </row>
    <row r="7">
      <c r="A7" s="17" t="s">
        <v>56</v>
      </c>
      <c r="B7" s="65">
        <f>'Hypothèses Clés'!C7*'Hypothèses Clés'!C22*'Hypothèses Clés'!C16*'Hypothèses Clés'!C19*12</f>
        <v>108000</v>
      </c>
      <c r="C7" s="65">
        <f>'Hypothèses Clés'!F7*'Hypothèses Clés'!F22*'Hypothèses Clés'!F16*'Hypothèses Clés'!F19*12</f>
        <v>135000</v>
      </c>
      <c r="D7" s="65">
        <f>'Hypothèses Clés'!I7*'Hypothèses Clés'!I22*'Hypothèses Clés'!I16*'Hypothèses Clés'!I19*12</f>
        <v>168750</v>
      </c>
      <c r="E7" s="65">
        <f>'Hypothèses Clés'!L7*'Hypothèses Clés'!L22*'Hypothèses Clés'!L16*'Hypothèses Clés'!L19*12</f>
        <v>210937.5</v>
      </c>
      <c r="F7" s="65">
        <f>'Hypothèses Clés'!O7*'Hypothèses Clés'!O22*'Hypothèses Clés'!O16*'Hypothèses Clés'!O19*12</f>
        <v>263671.875</v>
      </c>
    </row>
    <row r="8">
      <c r="A8" s="17" t="s">
        <v>57</v>
      </c>
      <c r="B8" s="65">
        <f>'Hypothèses Clés'!C7*'Hypothèses Clés'!C23*'Hypothèses Clés'!C17*'Hypothèses Clés'!C20*12</f>
        <v>64728</v>
      </c>
      <c r="C8" s="66">
        <f>'Hypothèses Clés'!F7*'Hypothèses Clés'!F23*'Hypothèses Clés'!F17*'Hypothèses Clés'!F20*12</f>
        <v>80910</v>
      </c>
      <c r="D8" s="65">
        <f>'Hypothèses Clés'!I7*'Hypothèses Clés'!I23*'Hypothèses Clés'!I17*'Hypothèses Clés'!I20*12</f>
        <v>101137.5</v>
      </c>
      <c r="E8" s="65">
        <f>'Hypothèses Clés'!L7*'Hypothèses Clés'!L23*'Hypothèses Clés'!L17*'Hypothèses Clés'!L20*12</f>
        <v>126421.875</v>
      </c>
      <c r="F8" s="65">
        <f>'Hypothèses Clés'!O7*'Hypothèses Clés'!O23*'Hypothèses Clés'!O17*'Hypothèses Clés'!O20*12</f>
        <v>158027.3438</v>
      </c>
    </row>
    <row r="9">
      <c r="A9" s="60" t="s">
        <v>82</v>
      </c>
      <c r="B9" s="67">
        <f t="shared" ref="B9:F9" si="1">(B4+B5+B6+B7+B8)/12/1.2</f>
        <v>22491.66667</v>
      </c>
      <c r="C9" s="67">
        <f t="shared" si="1"/>
        <v>28239.54167</v>
      </c>
      <c r="D9" s="67">
        <f t="shared" si="1"/>
        <v>35461.87292</v>
      </c>
      <c r="E9" s="67">
        <f t="shared" si="1"/>
        <v>44538.52073</v>
      </c>
      <c r="F9" s="67">
        <f t="shared" si="1"/>
        <v>55947.68437</v>
      </c>
    </row>
    <row r="10">
      <c r="A10" s="60" t="s">
        <v>59</v>
      </c>
      <c r="B10" s="67">
        <f t="shared" ref="B10:F10" si="2">SUM(B3:B8)/1.2</f>
        <v>269900</v>
      </c>
      <c r="C10" s="67">
        <f t="shared" si="2"/>
        <v>338874.5</v>
      </c>
      <c r="D10" s="67">
        <f t="shared" si="2"/>
        <v>425542.475</v>
      </c>
      <c r="E10" s="67">
        <f t="shared" si="2"/>
        <v>534462.2488</v>
      </c>
      <c r="F10" s="67">
        <f t="shared" si="2"/>
        <v>671372.2124</v>
      </c>
    </row>
    <row r="11">
      <c r="A11" s="57"/>
    </row>
    <row r="12">
      <c r="A12" s="57" t="s">
        <v>60</v>
      </c>
      <c r="B12" s="57"/>
      <c r="C12" s="57"/>
      <c r="D12" s="57"/>
      <c r="E12" s="57"/>
      <c r="F12" s="57"/>
    </row>
    <row r="13">
      <c r="A13" s="57" t="s">
        <v>61</v>
      </c>
      <c r="B13" s="65">
        <f>'Charges Opérationnelles'!B17</f>
        <v>58747.75</v>
      </c>
      <c r="C13" s="65">
        <f>'Charges Opérationnelles'!C17</f>
        <v>53537.125</v>
      </c>
      <c r="D13" s="65">
        <f>'Charges Opérationnelles'!D17</f>
        <v>64007.59375</v>
      </c>
      <c r="E13" s="65">
        <f>'Charges Opérationnelles'!E17</f>
        <v>77016.92969</v>
      </c>
      <c r="F13" s="65">
        <f>'Charges Opérationnelles'!F17</f>
        <v>93199.84961</v>
      </c>
    </row>
    <row r="14">
      <c r="A14" s="57" t="s">
        <v>62</v>
      </c>
      <c r="B14" s="65">
        <f>('Hypothèses Clés'!C6+'Hypothèses Clés'!C9)*2*12</f>
        <v>14400</v>
      </c>
      <c r="C14" s="65">
        <f>('Hypothèses Clés'!F6+'Hypothèses Clés'!F9)*2*12</f>
        <v>18120</v>
      </c>
      <c r="D14" s="65">
        <f>('Hypothèses Clés'!I6+'Hypothèses Clés'!I9)*2*12</f>
        <v>22806</v>
      </c>
      <c r="E14" s="65">
        <f>('Hypothèses Clés'!L6+'Hypothèses Clés'!L9)*2*12</f>
        <v>28710.3</v>
      </c>
      <c r="F14" s="65">
        <f>('Hypothèses Clés'!O6+'Hypothèses Clés'!O9)*2*12</f>
        <v>36151.515</v>
      </c>
    </row>
    <row r="15">
      <c r="A15" s="62" t="s">
        <v>45</v>
      </c>
      <c r="B15" s="67">
        <f t="shared" ref="B15:F15" si="3">SUM(B13:B14)</f>
        <v>73147.75</v>
      </c>
      <c r="C15" s="67">
        <f t="shared" si="3"/>
        <v>71657.125</v>
      </c>
      <c r="D15" s="67">
        <f t="shared" si="3"/>
        <v>86813.59375</v>
      </c>
      <c r="E15" s="67">
        <f t="shared" si="3"/>
        <v>105727.2297</v>
      </c>
      <c r="F15" s="67">
        <f t="shared" si="3"/>
        <v>129351.3646</v>
      </c>
    </row>
    <row r="16" ht="15.75" customHeight="1">
      <c r="A16" s="62"/>
    </row>
    <row r="17" ht="15.75" customHeight="1">
      <c r="A17" s="57" t="s">
        <v>63</v>
      </c>
      <c r="B17" s="65">
        <f t="shared" ref="B17:F17" si="4">B10-B15</f>
        <v>196752.25</v>
      </c>
      <c r="C17" s="65">
        <f t="shared" si="4"/>
        <v>267217.375</v>
      </c>
      <c r="D17" s="65">
        <f t="shared" si="4"/>
        <v>338728.8813</v>
      </c>
      <c r="E17" s="65">
        <f t="shared" si="4"/>
        <v>428735.0191</v>
      </c>
      <c r="F17" s="65">
        <f t="shared" si="4"/>
        <v>542020.8478</v>
      </c>
    </row>
    <row r="18" ht="15.75" customHeight="1">
      <c r="A18" s="57" t="s">
        <v>64</v>
      </c>
      <c r="B18" s="70">
        <f t="shared" ref="B18:F18" si="5">(B17/B10)*100</f>
        <v>72.89820304</v>
      </c>
      <c r="C18" s="70">
        <f t="shared" si="5"/>
        <v>78.85437677</v>
      </c>
      <c r="D18" s="70">
        <f t="shared" si="5"/>
        <v>79.59931174</v>
      </c>
      <c r="E18" s="70">
        <f t="shared" si="5"/>
        <v>80.21801728</v>
      </c>
      <c r="F18" s="70">
        <f t="shared" si="5"/>
        <v>80.73328592</v>
      </c>
    </row>
    <row r="19" ht="15.75" customHeight="1">
      <c r="A19" s="57" t="s">
        <v>65</v>
      </c>
      <c r="B19" s="58">
        <v>1500.0</v>
      </c>
      <c r="C19" s="58">
        <v>2000.0</v>
      </c>
      <c r="D19" s="58">
        <v>2500.0</v>
      </c>
      <c r="E19" s="58">
        <v>3000.0</v>
      </c>
      <c r="F19" s="58">
        <v>3500.0</v>
      </c>
    </row>
    <row r="20" ht="15.75" customHeight="1">
      <c r="A20" s="57" t="s">
        <v>66</v>
      </c>
      <c r="B20" s="65">
        <f>B10-B15-B19</f>
        <v>195252.25</v>
      </c>
      <c r="C20" s="65">
        <f t="shared" ref="C20:F20" si="6">C10-C13-C19</f>
        <v>283337.375</v>
      </c>
      <c r="D20" s="65">
        <f t="shared" si="6"/>
        <v>359034.8813</v>
      </c>
      <c r="E20" s="65">
        <f t="shared" si="6"/>
        <v>454445.3191</v>
      </c>
      <c r="F20" s="65">
        <f t="shared" si="6"/>
        <v>574672.3628</v>
      </c>
    </row>
    <row r="21" ht="15.75" customHeight="1">
      <c r="A21" s="57"/>
    </row>
    <row r="22" ht="15.75" customHeight="1">
      <c r="A22" s="17" t="s">
        <v>67</v>
      </c>
      <c r="B22" s="58">
        <v>0.0</v>
      </c>
      <c r="C22" s="58">
        <f>E35</f>
        <v>14700</v>
      </c>
      <c r="D22" s="58">
        <f>E36</f>
        <v>14160</v>
      </c>
      <c r="E22" s="58">
        <f>E37</f>
        <v>13620</v>
      </c>
      <c r="F22" s="58">
        <f>E38</f>
        <v>13080</v>
      </c>
    </row>
    <row r="23" ht="15.75" customHeight="1">
      <c r="A23" s="57" t="s">
        <v>68</v>
      </c>
      <c r="B23" s="65">
        <f t="shared" ref="B23:F23" si="7">B10-B15-B19-B22</f>
        <v>195252.25</v>
      </c>
      <c r="C23" s="65">
        <f t="shared" si="7"/>
        <v>250517.375</v>
      </c>
      <c r="D23" s="65">
        <f t="shared" si="7"/>
        <v>322068.8813</v>
      </c>
      <c r="E23" s="65">
        <f t="shared" si="7"/>
        <v>412115.0191</v>
      </c>
      <c r="F23" s="65">
        <f t="shared" si="7"/>
        <v>525440.8478</v>
      </c>
    </row>
    <row r="24" ht="15.75" customHeight="1">
      <c r="A24" s="62" t="s">
        <v>69</v>
      </c>
      <c r="B24" s="85">
        <f t="shared" ref="B24:F24" si="8">B23*0.25</f>
        <v>48813.0625</v>
      </c>
      <c r="C24" s="85">
        <f t="shared" si="8"/>
        <v>62629.34375</v>
      </c>
      <c r="D24" s="85">
        <f t="shared" si="8"/>
        <v>80517.22031</v>
      </c>
      <c r="E24" s="85">
        <f t="shared" si="8"/>
        <v>103028.7548</v>
      </c>
      <c r="F24" s="85">
        <f t="shared" si="8"/>
        <v>131360.212</v>
      </c>
    </row>
    <row r="25" ht="15.75" customHeight="1">
      <c r="A25" s="86" t="s">
        <v>70</v>
      </c>
      <c r="B25" s="87">
        <f t="shared" ref="B25:F25" si="9">B23-B24</f>
        <v>146439.1875</v>
      </c>
      <c r="C25" s="87">
        <f t="shared" si="9"/>
        <v>187888.0313</v>
      </c>
      <c r="D25" s="87">
        <f t="shared" si="9"/>
        <v>241551.6609</v>
      </c>
      <c r="E25" s="87">
        <f t="shared" si="9"/>
        <v>309086.2643</v>
      </c>
      <c r="F25" s="87">
        <f t="shared" si="9"/>
        <v>394080.6359</v>
      </c>
    </row>
    <row r="26" ht="15.75" customHeight="1">
      <c r="A26" s="57" t="s">
        <v>71</v>
      </c>
      <c r="B26" s="57">
        <f t="shared" ref="B26:F26" si="10">(B25/B10)*100</f>
        <v>54.25683123</v>
      </c>
      <c r="C26" s="57">
        <f t="shared" si="10"/>
        <v>55.44472401</v>
      </c>
      <c r="D26" s="57">
        <f t="shared" si="10"/>
        <v>56.76323167</v>
      </c>
      <c r="E26" s="57">
        <f t="shared" si="10"/>
        <v>57.83126217</v>
      </c>
      <c r="F26" s="57">
        <f t="shared" si="10"/>
        <v>58.69778769</v>
      </c>
    </row>
    <row r="27" ht="15.75" customHeight="1"/>
    <row r="28" ht="15.75" customHeight="1">
      <c r="A28" s="75"/>
      <c r="B28" s="75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</row>
    <row r="29" ht="15.75" customHeight="1">
      <c r="A29" s="64"/>
      <c r="B29" s="64"/>
    </row>
    <row r="30" ht="15.75" customHeight="1">
      <c r="A30" s="64" t="s">
        <v>72</v>
      </c>
      <c r="B30" s="64">
        <v>60000.0</v>
      </c>
    </row>
    <row r="31" ht="15.75" customHeight="1">
      <c r="A31" s="64" t="s">
        <v>73</v>
      </c>
      <c r="B31" s="77">
        <v>0.045</v>
      </c>
    </row>
    <row r="32" ht="15.75" customHeight="1">
      <c r="A32" s="64" t="s">
        <v>74</v>
      </c>
      <c r="B32" s="64">
        <v>5.0</v>
      </c>
    </row>
    <row r="33" ht="15.75" customHeight="1"/>
    <row r="34" ht="15.75" customHeight="1">
      <c r="A34" s="78" t="s">
        <v>75</v>
      </c>
      <c r="B34" s="78" t="s">
        <v>76</v>
      </c>
      <c r="C34" s="78" t="s">
        <v>77</v>
      </c>
      <c r="D34" s="78" t="s">
        <v>78</v>
      </c>
      <c r="E34" s="78" t="s">
        <v>79</v>
      </c>
      <c r="F34" s="79" t="s">
        <v>80</v>
      </c>
    </row>
    <row r="35" ht="15.75" customHeight="1">
      <c r="A35" s="80">
        <v>1.0</v>
      </c>
      <c r="B35" s="81">
        <f>B30/B32</f>
        <v>12000</v>
      </c>
      <c r="C35" s="82">
        <v>0.045</v>
      </c>
      <c r="D35" s="81">
        <f>B30*B31</f>
        <v>2700</v>
      </c>
      <c r="E35" s="81">
        <f t="shared" ref="E35:E39" si="11">B35+D35</f>
        <v>14700</v>
      </c>
      <c r="F35" s="81">
        <f>B30-B35</f>
        <v>48000</v>
      </c>
    </row>
    <row r="36" ht="15.75" customHeight="1">
      <c r="A36" s="80">
        <v>2.0</v>
      </c>
      <c r="B36" s="81">
        <f>B30/B32</f>
        <v>12000</v>
      </c>
      <c r="C36" s="82">
        <v>0.045</v>
      </c>
      <c r="D36" s="81">
        <f t="shared" ref="D36:D39" si="12">F35*C36</f>
        <v>2160</v>
      </c>
      <c r="E36" s="81">
        <f t="shared" si="11"/>
        <v>14160</v>
      </c>
      <c r="F36" s="81">
        <f t="shared" ref="F36:F39" si="13">F35-B36</f>
        <v>36000</v>
      </c>
    </row>
    <row r="37" ht="15.75" customHeight="1">
      <c r="A37" s="80">
        <v>3.0</v>
      </c>
      <c r="B37" s="81">
        <f>B30/B32</f>
        <v>12000</v>
      </c>
      <c r="C37" s="82">
        <v>0.045</v>
      </c>
      <c r="D37" s="81">
        <f t="shared" si="12"/>
        <v>1620</v>
      </c>
      <c r="E37" s="81">
        <f t="shared" si="11"/>
        <v>13620</v>
      </c>
      <c r="F37" s="81">
        <f t="shared" si="13"/>
        <v>24000</v>
      </c>
    </row>
    <row r="38" ht="15.75" customHeight="1">
      <c r="A38" s="80">
        <v>4.0</v>
      </c>
      <c r="B38" s="83">
        <v>12000.0</v>
      </c>
      <c r="C38" s="82">
        <v>0.045</v>
      </c>
      <c r="D38" s="81">
        <f t="shared" si="12"/>
        <v>1080</v>
      </c>
      <c r="E38" s="81">
        <f t="shared" si="11"/>
        <v>13080</v>
      </c>
      <c r="F38" s="81">
        <f t="shared" si="13"/>
        <v>12000</v>
      </c>
    </row>
    <row r="39" ht="15.75" customHeight="1">
      <c r="A39" s="80">
        <v>5.0</v>
      </c>
      <c r="B39" s="83">
        <v>12000.0</v>
      </c>
      <c r="C39" s="82">
        <v>0.045</v>
      </c>
      <c r="D39" s="81">
        <f t="shared" si="12"/>
        <v>540</v>
      </c>
      <c r="E39" s="81">
        <f t="shared" si="11"/>
        <v>12540</v>
      </c>
      <c r="F39" s="81">
        <f t="shared" si="13"/>
        <v>0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57"/>
    <col customWidth="1" min="2" max="6" width="15.0"/>
    <col customWidth="1" min="7" max="26" width="8.71"/>
  </cols>
  <sheetData>
    <row r="1">
      <c r="A1" s="53" t="s">
        <v>83</v>
      </c>
      <c r="B1" s="53"/>
      <c r="C1" s="53"/>
      <c r="D1" s="53"/>
      <c r="E1" s="53"/>
      <c r="F1" s="53"/>
    </row>
    <row r="2">
      <c r="A2" s="55"/>
      <c r="B2" s="55" t="s">
        <v>1</v>
      </c>
      <c r="C2" s="55" t="s">
        <v>2</v>
      </c>
      <c r="D2" s="55" t="s">
        <v>3</v>
      </c>
      <c r="E2" s="55" t="s">
        <v>4</v>
      </c>
      <c r="F2" s="55" t="s">
        <v>5</v>
      </c>
    </row>
    <row r="3">
      <c r="A3" s="57" t="s">
        <v>52</v>
      </c>
    </row>
    <row r="4">
      <c r="A4" s="17" t="s">
        <v>53</v>
      </c>
      <c r="B4" s="65">
        <f>'Hypothèses Clés'!D8*'Hypothèses Clés'!D21*'Hypothèses Clés'!D13*'Hypothèses Clés'!D18*12</f>
        <v>69120</v>
      </c>
      <c r="C4" s="65">
        <f>'Hypothèses Clés'!G8*'Hypothèses Clés'!G21*'Hypothèses Clés'!G13*'Hypothèses Clés'!G18*12</f>
        <v>96768</v>
      </c>
      <c r="D4" s="65">
        <f>'Hypothèses Clés'!J8*'Hypothèses Clés'!J21*'Hypothèses Clés'!J13*'Hypothèses Clés'!J18*12</f>
        <v>135475.2</v>
      </c>
      <c r="E4" s="66">
        <f>'Hypothèses Clés'!M8*'Hypothèses Clés'!M21*'Hypothèses Clés'!M13*'Hypothèses Clés'!M18*12</f>
        <v>189665.28</v>
      </c>
      <c r="F4" s="65">
        <f>'Hypothèses Clés'!P8*'Hypothèses Clés'!P21*'Hypothèses Clés'!P13*'Hypothèses Clés'!P18*12</f>
        <v>265531.392</v>
      </c>
    </row>
    <row r="5">
      <c r="A5" s="17" t="s">
        <v>54</v>
      </c>
      <c r="B5" s="65">
        <f>'Hypothèses Clés'!D7*'Hypothèses Clés'!D14*12</f>
        <v>115142.4</v>
      </c>
      <c r="C5" s="65">
        <f>'Hypothèses Clés'!G7*'Hypothèses Clés'!G14*12</f>
        <v>161199.36</v>
      </c>
      <c r="D5" s="65">
        <f>'Hypothèses Clés'!J7*'Hypothèses Clés'!J14*12</f>
        <v>225679.104</v>
      </c>
      <c r="E5" s="65">
        <f>'Hypothèses Clés'!M7*'Hypothèses Clés'!M14*12</f>
        <v>315950.7456</v>
      </c>
      <c r="F5" s="65">
        <f>'Hypothèses Clés'!P7*'Hypothèses Clés'!P14*12</f>
        <v>442331.0438</v>
      </c>
    </row>
    <row r="6">
      <c r="A6" s="17" t="s">
        <v>55</v>
      </c>
      <c r="B6" s="65">
        <f>'Hypothèses Clés'!D9*'Hypothèses Clés'!D15*12</f>
        <v>53982</v>
      </c>
      <c r="C6" s="65">
        <f>'Hypothèses Clés'!G9*'Hypothèses Clés'!G15*12</f>
        <v>80973</v>
      </c>
      <c r="D6" s="65">
        <f>'Hypothèses Clés'!J9*'Hypothèses Clés'!J15*12</f>
        <v>121459.5</v>
      </c>
      <c r="E6" s="65">
        <f>'Hypothèses Clés'!M9*'Hypothèses Clés'!M15*12</f>
        <v>182189.25</v>
      </c>
      <c r="F6" s="65">
        <f>'Hypothèses Clés'!P9*'Hypothèses Clés'!P15*12</f>
        <v>273283.875</v>
      </c>
    </row>
    <row r="7">
      <c r="A7" s="17" t="s">
        <v>56</v>
      </c>
      <c r="B7" s="65">
        <f>'Hypothèses Clés'!D7*'Hypothèses Clés'!D22*'Hypothèses Clés'!D16*'Hypothèses Clés'!D19*12</f>
        <v>276480</v>
      </c>
      <c r="C7" s="65">
        <f>'Hypothèses Clés'!G7*'Hypothèses Clés'!G22*'Hypothèses Clés'!G16*'Hypothèses Clés'!G19*12</f>
        <v>387072</v>
      </c>
      <c r="D7" s="65">
        <f>'Hypothèses Clés'!J7*'Hypothèses Clés'!J22*'Hypothèses Clés'!J16*'Hypothèses Clés'!J19*12</f>
        <v>541900.8</v>
      </c>
      <c r="E7" s="65">
        <f>'Hypothèses Clés'!M7*'Hypothèses Clés'!M22*'Hypothèses Clés'!M16*'Hypothèses Clés'!M19*12</f>
        <v>758661.12</v>
      </c>
      <c r="F7" s="65">
        <f>'Hypothèses Clés'!P7*'Hypothèses Clés'!P22*'Hypothèses Clés'!P16*'Hypothèses Clés'!P19*12</f>
        <v>1062125.568</v>
      </c>
    </row>
    <row r="8">
      <c r="A8" s="17" t="s">
        <v>57</v>
      </c>
      <c r="B8" s="65">
        <f>'Hypothèses Clés'!D7*'Hypothèses Clés'!D23*'Hypothèses Clés'!D17*'Hypothèses Clés'!D20*12</f>
        <v>207129.6</v>
      </c>
      <c r="C8" s="66">
        <f>'Hypothèses Clés'!G7*'Hypothèses Clés'!G23*'Hypothèses Clés'!G17*'Hypothèses Clés'!G20*12</f>
        <v>289981.44</v>
      </c>
      <c r="D8" s="65">
        <f>'Hypothèses Clés'!J7*'Hypothèses Clés'!J23*'Hypothèses Clés'!J17*'Hypothèses Clés'!J20*12</f>
        <v>405974.016</v>
      </c>
      <c r="E8" s="65">
        <f>'Hypothèses Clés'!M7*'Hypothèses Clés'!M23*'Hypothèses Clés'!M17*'Hypothèses Clés'!M20*12</f>
        <v>568363.6224</v>
      </c>
      <c r="F8" s="65">
        <f>'Hypothèses Clés'!P7*'Hypothèses Clés'!P23*'Hypothèses Clés'!P17*'Hypothèses Clés'!P20*12</f>
        <v>795709.0714</v>
      </c>
    </row>
    <row r="9">
      <c r="A9" s="60" t="s">
        <v>58</v>
      </c>
      <c r="B9" s="67">
        <f t="shared" ref="B9:F9" si="1">(B4+B5+B6+B7+B8)/12/1.2</f>
        <v>50128.75</v>
      </c>
      <c r="C9" s="67">
        <f t="shared" si="1"/>
        <v>70555.125</v>
      </c>
      <c r="D9" s="67">
        <f t="shared" si="1"/>
        <v>99339.4875</v>
      </c>
      <c r="E9" s="67">
        <f t="shared" si="1"/>
        <v>139918.7513</v>
      </c>
      <c r="F9" s="67">
        <f t="shared" si="1"/>
        <v>197151.4549</v>
      </c>
    </row>
    <row r="10">
      <c r="A10" s="60" t="s">
        <v>59</v>
      </c>
      <c r="B10" s="67">
        <f t="shared" ref="B10:F10" si="2">SUM(B3:B8)/1.2</f>
        <v>601545</v>
      </c>
      <c r="C10" s="67">
        <f t="shared" si="2"/>
        <v>846661.5</v>
      </c>
      <c r="D10" s="67">
        <f t="shared" si="2"/>
        <v>1192073.85</v>
      </c>
      <c r="E10" s="67">
        <f t="shared" si="2"/>
        <v>1679025.015</v>
      </c>
      <c r="F10" s="67">
        <f t="shared" si="2"/>
        <v>2365817.459</v>
      </c>
    </row>
    <row r="11">
      <c r="A11" s="57"/>
    </row>
    <row r="12">
      <c r="A12" s="57" t="s">
        <v>60</v>
      </c>
      <c r="B12" s="57"/>
      <c r="C12" s="57"/>
      <c r="D12" s="57"/>
      <c r="E12" s="57"/>
      <c r="F12" s="57"/>
    </row>
    <row r="13">
      <c r="A13" s="57" t="s">
        <v>61</v>
      </c>
      <c r="B13" s="65">
        <f>'Charges Opérationnelles'!B17</f>
        <v>58747.75</v>
      </c>
      <c r="C13" s="65">
        <f>'Charges Opérationnelles'!C17</f>
        <v>53537.125</v>
      </c>
      <c r="D13" s="65">
        <f>'Charges Opérationnelles'!D17</f>
        <v>64007.59375</v>
      </c>
      <c r="E13" s="65">
        <f>'Charges Opérationnelles'!E17</f>
        <v>77016.92969</v>
      </c>
      <c r="F13" s="65">
        <f>'Charges Opérationnelles'!F17</f>
        <v>93199.84961</v>
      </c>
    </row>
    <row r="14">
      <c r="A14" s="57" t="s">
        <v>62</v>
      </c>
      <c r="B14" s="65">
        <f>('Hypothèses Clés'!C6+'Hypothèses Clés'!C9)*2*12</f>
        <v>14400</v>
      </c>
      <c r="C14" s="65">
        <f>('Hypothèses Clés'!F6+'Hypothèses Clés'!F9)*2*12</f>
        <v>18120</v>
      </c>
      <c r="D14" s="65">
        <f>('Hypothèses Clés'!I6+'Hypothèses Clés'!I9)*2*12</f>
        <v>22806</v>
      </c>
      <c r="E14" s="65">
        <f>('Hypothèses Clés'!L6+'Hypothèses Clés'!L9)*2*12</f>
        <v>28710.3</v>
      </c>
      <c r="F14" s="65">
        <f>('Hypothèses Clés'!O6+'Hypothèses Clés'!O9)*2*12</f>
        <v>36151.515</v>
      </c>
    </row>
    <row r="15">
      <c r="A15" s="62" t="s">
        <v>45</v>
      </c>
      <c r="B15" s="67">
        <f t="shared" ref="B15:F15" si="3">SUM(B13:B14)</f>
        <v>73147.75</v>
      </c>
      <c r="C15" s="67">
        <f t="shared" si="3"/>
        <v>71657.125</v>
      </c>
      <c r="D15" s="67">
        <f t="shared" si="3"/>
        <v>86813.59375</v>
      </c>
      <c r="E15" s="67">
        <f t="shared" si="3"/>
        <v>105727.2297</v>
      </c>
      <c r="F15" s="67">
        <f t="shared" si="3"/>
        <v>129351.3646</v>
      </c>
    </row>
    <row r="16">
      <c r="A16" s="62"/>
    </row>
    <row r="17">
      <c r="A17" s="57" t="s">
        <v>63</v>
      </c>
      <c r="B17" s="65">
        <f t="shared" ref="B17:F17" si="4">B10-B15</f>
        <v>528397.25</v>
      </c>
      <c r="C17" s="65">
        <f t="shared" si="4"/>
        <v>775004.375</v>
      </c>
      <c r="D17" s="65">
        <f t="shared" si="4"/>
        <v>1105260.256</v>
      </c>
      <c r="E17" s="65">
        <f t="shared" si="4"/>
        <v>1573297.785</v>
      </c>
      <c r="F17" s="65">
        <f t="shared" si="4"/>
        <v>2236466.094</v>
      </c>
    </row>
    <row r="18">
      <c r="A18" s="57" t="s">
        <v>64</v>
      </c>
      <c r="B18" s="70">
        <f t="shared" ref="B18:F18" si="5">(B17/B10)*100</f>
        <v>87.84002028</v>
      </c>
      <c r="C18" s="70">
        <f t="shared" si="5"/>
        <v>91.53650839</v>
      </c>
      <c r="D18" s="70">
        <f t="shared" si="5"/>
        <v>92.71743158</v>
      </c>
      <c r="E18" s="70">
        <f t="shared" si="5"/>
        <v>93.7030581</v>
      </c>
      <c r="F18" s="70">
        <f t="shared" si="5"/>
        <v>94.53248753</v>
      </c>
    </row>
    <row r="19">
      <c r="A19" s="57" t="s">
        <v>65</v>
      </c>
      <c r="B19" s="58">
        <v>1500.0</v>
      </c>
      <c r="C19" s="58">
        <v>2000.0</v>
      </c>
      <c r="D19" s="58">
        <v>2500.0</v>
      </c>
      <c r="E19" s="58">
        <v>3000.0</v>
      </c>
      <c r="F19" s="58">
        <v>3500.0</v>
      </c>
    </row>
    <row r="20">
      <c r="A20" s="57" t="s">
        <v>66</v>
      </c>
      <c r="B20" s="65">
        <f>B10-B15-B19</f>
        <v>526897.25</v>
      </c>
      <c r="C20" s="65">
        <f t="shared" ref="C20:F20" si="6">C10-C13-C19</f>
        <v>791124.375</v>
      </c>
      <c r="D20" s="65">
        <f t="shared" si="6"/>
        <v>1125566.256</v>
      </c>
      <c r="E20" s="65">
        <f t="shared" si="6"/>
        <v>1599008.085</v>
      </c>
      <c r="F20" s="65">
        <f t="shared" si="6"/>
        <v>2269117.609</v>
      </c>
    </row>
    <row r="21" ht="15.75" customHeight="1">
      <c r="A21" s="57"/>
    </row>
    <row r="22" ht="15.75" customHeight="1">
      <c r="A22" s="57" t="s">
        <v>84</v>
      </c>
      <c r="B22" s="58">
        <v>0.0</v>
      </c>
      <c r="C22" s="58">
        <f>E35</f>
        <v>14700</v>
      </c>
      <c r="D22" s="58">
        <f>E36</f>
        <v>14160</v>
      </c>
      <c r="E22" s="58">
        <f>E37</f>
        <v>13620</v>
      </c>
      <c r="F22" s="58">
        <f>E38</f>
        <v>13080</v>
      </c>
    </row>
    <row r="23" ht="15.75" customHeight="1">
      <c r="A23" s="57" t="s">
        <v>68</v>
      </c>
      <c r="B23" s="65">
        <f t="shared" ref="B23:F23" si="7">B10-B15-B19-B22</f>
        <v>526897.25</v>
      </c>
      <c r="C23" s="65">
        <f t="shared" si="7"/>
        <v>758304.375</v>
      </c>
      <c r="D23" s="65">
        <f t="shared" si="7"/>
        <v>1088600.256</v>
      </c>
      <c r="E23" s="65">
        <f t="shared" si="7"/>
        <v>1556677.785</v>
      </c>
      <c r="F23" s="65">
        <f t="shared" si="7"/>
        <v>2219886.094</v>
      </c>
    </row>
    <row r="24" ht="15.75" customHeight="1">
      <c r="A24" s="62" t="s">
        <v>69</v>
      </c>
      <c r="B24" s="85">
        <f t="shared" ref="B24:F24" si="8">B23*0.25</f>
        <v>131724.3125</v>
      </c>
      <c r="C24" s="85">
        <f t="shared" si="8"/>
        <v>189576.0938</v>
      </c>
      <c r="D24" s="85">
        <f t="shared" si="8"/>
        <v>272150.0641</v>
      </c>
      <c r="E24" s="85">
        <f t="shared" si="8"/>
        <v>389169.4463</v>
      </c>
      <c r="F24" s="85">
        <f t="shared" si="8"/>
        <v>554971.5235</v>
      </c>
    </row>
    <row r="25" ht="15.75" customHeight="1">
      <c r="A25" s="57" t="s">
        <v>70</v>
      </c>
      <c r="B25" s="87">
        <f t="shared" ref="B25:F25" si="9">B23-B24</f>
        <v>395172.9375</v>
      </c>
      <c r="C25" s="87">
        <f t="shared" si="9"/>
        <v>568728.2813</v>
      </c>
      <c r="D25" s="87">
        <f t="shared" si="9"/>
        <v>816450.1922</v>
      </c>
      <c r="E25" s="87">
        <f t="shared" si="9"/>
        <v>1167508.339</v>
      </c>
      <c r="F25" s="87">
        <f t="shared" si="9"/>
        <v>1664914.57</v>
      </c>
    </row>
    <row r="26" ht="15.75" customHeight="1">
      <c r="A26" s="57" t="s">
        <v>71</v>
      </c>
      <c r="B26" s="57">
        <f t="shared" ref="B26:F26" si="10">(B25/B10)*100</f>
        <v>65.69299678</v>
      </c>
      <c r="C26" s="57">
        <f t="shared" si="10"/>
        <v>67.17304156</v>
      </c>
      <c r="D26" s="57">
        <f t="shared" si="10"/>
        <v>68.48990037</v>
      </c>
      <c r="E26" s="57">
        <f t="shared" si="10"/>
        <v>69.53489844</v>
      </c>
      <c r="F26" s="57">
        <f t="shared" si="10"/>
        <v>70.37375451</v>
      </c>
    </row>
    <row r="27" ht="15.75" customHeight="1">
      <c r="A27" s="73"/>
      <c r="B27" s="74"/>
      <c r="C27" s="74"/>
      <c r="D27" s="74"/>
      <c r="E27" s="74"/>
      <c r="F27" s="74"/>
    </row>
    <row r="28" ht="15.75" customHeight="1">
      <c r="A28" s="75"/>
      <c r="B28" s="75"/>
      <c r="C28" s="76"/>
      <c r="D28" s="76"/>
      <c r="E28" s="76"/>
      <c r="F28" s="76"/>
    </row>
    <row r="29" ht="15.75" customHeight="1">
      <c r="A29" s="64"/>
      <c r="B29" s="64"/>
    </row>
    <row r="30" ht="15.75" customHeight="1">
      <c r="A30" s="64" t="s">
        <v>72</v>
      </c>
      <c r="B30" s="64">
        <v>60000.0</v>
      </c>
    </row>
    <row r="31" ht="15.75" customHeight="1">
      <c r="A31" s="64" t="s">
        <v>73</v>
      </c>
      <c r="B31" s="77">
        <v>0.045</v>
      </c>
    </row>
    <row r="32" ht="15.75" customHeight="1">
      <c r="A32" s="64" t="s">
        <v>74</v>
      </c>
      <c r="B32" s="64">
        <v>5.0</v>
      </c>
    </row>
    <row r="33" ht="15.75" customHeight="1"/>
    <row r="34" ht="15.75" customHeight="1">
      <c r="A34" s="78" t="s">
        <v>75</v>
      </c>
      <c r="B34" s="78" t="s">
        <v>76</v>
      </c>
      <c r="C34" s="78" t="s">
        <v>77</v>
      </c>
      <c r="D34" s="78" t="s">
        <v>78</v>
      </c>
      <c r="E34" s="78" t="s">
        <v>79</v>
      </c>
      <c r="F34" s="79" t="s">
        <v>80</v>
      </c>
    </row>
    <row r="35" ht="15.75" customHeight="1">
      <c r="A35" s="80">
        <v>1.0</v>
      </c>
      <c r="B35" s="81">
        <f>B30/B32</f>
        <v>12000</v>
      </c>
      <c r="C35" s="82">
        <v>0.045</v>
      </c>
      <c r="D35" s="81">
        <f>B30*B31</f>
        <v>2700</v>
      </c>
      <c r="E35" s="81">
        <f t="shared" ref="E35:E39" si="11">B35+D35</f>
        <v>14700</v>
      </c>
      <c r="F35" s="81">
        <f>B30-B35</f>
        <v>48000</v>
      </c>
    </row>
    <row r="36" ht="15.75" customHeight="1">
      <c r="A36" s="80">
        <v>2.0</v>
      </c>
      <c r="B36" s="81">
        <f>B30/B32</f>
        <v>12000</v>
      </c>
      <c r="C36" s="82">
        <v>0.045</v>
      </c>
      <c r="D36" s="81">
        <f t="shared" ref="D36:D39" si="12">F35*C36</f>
        <v>2160</v>
      </c>
      <c r="E36" s="81">
        <f t="shared" si="11"/>
        <v>14160</v>
      </c>
      <c r="F36" s="81">
        <f t="shared" ref="F36:F39" si="13">F35-B36</f>
        <v>36000</v>
      </c>
    </row>
    <row r="37" ht="15.75" customHeight="1">
      <c r="A37" s="80">
        <v>3.0</v>
      </c>
      <c r="B37" s="81">
        <f>B30/B32</f>
        <v>12000</v>
      </c>
      <c r="C37" s="82">
        <v>0.045</v>
      </c>
      <c r="D37" s="81">
        <f t="shared" si="12"/>
        <v>1620</v>
      </c>
      <c r="E37" s="81">
        <f t="shared" si="11"/>
        <v>13620</v>
      </c>
      <c r="F37" s="81">
        <f t="shared" si="13"/>
        <v>24000</v>
      </c>
    </row>
    <row r="38" ht="15.75" customHeight="1">
      <c r="A38" s="80">
        <v>4.0</v>
      </c>
      <c r="B38" s="83">
        <v>12000.0</v>
      </c>
      <c r="C38" s="82">
        <v>0.045</v>
      </c>
      <c r="D38" s="81">
        <f t="shared" si="12"/>
        <v>1080</v>
      </c>
      <c r="E38" s="81">
        <f t="shared" si="11"/>
        <v>13080</v>
      </c>
      <c r="F38" s="81">
        <f t="shared" si="13"/>
        <v>12000</v>
      </c>
    </row>
    <row r="39" ht="15.75" customHeight="1">
      <c r="A39" s="80">
        <v>5.0</v>
      </c>
      <c r="B39" s="83">
        <v>12000.0</v>
      </c>
      <c r="C39" s="82">
        <v>0.045</v>
      </c>
      <c r="D39" s="81">
        <f t="shared" si="12"/>
        <v>540</v>
      </c>
      <c r="E39" s="81">
        <f t="shared" si="11"/>
        <v>12540</v>
      </c>
      <c r="F39" s="81">
        <f t="shared" si="13"/>
        <v>0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2025-11-22T21:33:06Z</dcterms:created>
  <dc:creator>openpyxl</dc:creator>
</cp:coreProperties>
</file>